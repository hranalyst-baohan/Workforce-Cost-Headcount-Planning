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/>
  <mc:AlternateContent xmlns:mc="http://schemas.openxmlformats.org/markup-compatibility/2006">
    <mc:Choice Requires="x15">
      <x15ac:absPath xmlns:x15ac="http://schemas.microsoft.com/office/spreadsheetml/2010/11/ac" url="/Users/lum/Downloads/DA/"/>
    </mc:Choice>
  </mc:AlternateContent>
  <xr:revisionPtr revIDLastSave="0" documentId="13_ncr:1_{8825B939-8F84-B641-B1A7-113C8CD6F243}" xr6:coauthVersionLast="47" xr6:coauthVersionMax="47" xr10:uidLastSave="{00000000-0000-0000-0000-000000000000}"/>
  <bookViews>
    <workbookView xWindow="0" yWindow="740" windowWidth="29400" windowHeight="16840" xr2:uid="{14B3C457-5950-4C16-8D8A-A3F3DB9074C9}"/>
  </bookViews>
  <sheets>
    <sheet name="Data" sheetId="9" r:id="rId1"/>
  </sheets>
  <definedNames>
    <definedName name="_xlnm._FilterDatabase" localSheetId="0" hidden="1">Data!$A$1:$Q$1710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2" i="9"/>
  <c r="M155" i="9"/>
  <c r="M156" i="9"/>
  <c r="M154" i="9"/>
  <c r="M44" i="9"/>
  <c r="M47" i="9"/>
  <c r="M396" i="9"/>
  <c r="M397" i="9"/>
  <c r="M398" i="9"/>
  <c r="M273" i="9"/>
  <c r="M274" i="9"/>
  <c r="M275" i="9"/>
  <c r="M620" i="9"/>
  <c r="M621" i="9"/>
  <c r="M830" i="9"/>
  <c r="M831" i="9"/>
  <c r="M800" i="9"/>
  <c r="M2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1010" i="9"/>
  <c r="M1323" i="9"/>
  <c r="M934" i="9"/>
  <c r="M1030" i="9"/>
  <c r="M1051" i="9"/>
  <c r="M1217" i="9"/>
  <c r="M1126" i="9"/>
  <c r="M1242" i="9"/>
  <c r="M959" i="9"/>
  <c r="M1324" i="9"/>
  <c r="M901" i="9"/>
  <c r="M1142" i="9"/>
  <c r="M1364" i="9"/>
  <c r="M1218" i="9"/>
  <c r="M1191" i="9"/>
  <c r="M1052" i="9"/>
  <c r="M1164" i="9"/>
  <c r="M902" i="9"/>
  <c r="M1031" i="9"/>
  <c r="M1345" i="9"/>
  <c r="M960" i="9"/>
  <c r="M1053" i="9"/>
  <c r="M1075" i="9"/>
  <c r="M1243" i="9"/>
  <c r="M1143" i="9"/>
  <c r="M1270" i="9"/>
  <c r="M988" i="9"/>
  <c r="M1346" i="9"/>
  <c r="M935" i="9"/>
  <c r="M1165" i="9"/>
  <c r="M1271" i="9"/>
  <c r="M1244" i="9"/>
  <c r="M1219" i="9"/>
  <c r="M1076" i="9"/>
  <c r="M1102" i="9"/>
  <c r="M1077" i="9"/>
  <c r="M1103" i="9"/>
  <c r="M1104" i="9"/>
  <c r="M1272" i="9"/>
  <c r="M1166" i="9"/>
  <c r="M1105" i="9"/>
  <c r="M1294" i="9"/>
  <c r="M1245" i="9"/>
  <c r="M1011" i="9"/>
  <c r="M1295" i="9"/>
  <c r="M1365" i="9"/>
  <c r="M961" i="9"/>
  <c r="M1192" i="9"/>
  <c r="M1296" i="9"/>
  <c r="M1297" i="9"/>
  <c r="M1078" i="9"/>
  <c r="M1220" i="9"/>
  <c r="M1273" i="9"/>
  <c r="M1246" i="9"/>
  <c r="M1106" i="9"/>
  <c r="M1247" i="9"/>
  <c r="M936" i="9"/>
  <c r="M903" i="9"/>
  <c r="M1325" i="9"/>
  <c r="M1274" i="9"/>
  <c r="M989" i="9"/>
  <c r="M1167" i="9"/>
  <c r="M990" i="9"/>
  <c r="M1366" i="9"/>
  <c r="M1221" i="9"/>
  <c r="M1367" i="9"/>
  <c r="M991" i="9"/>
  <c r="M1079" i="9"/>
  <c r="M1032" i="9"/>
  <c r="M904" i="9"/>
  <c r="M905" i="9"/>
  <c r="M1347" i="9"/>
  <c r="M1298" i="9"/>
  <c r="M1012" i="9"/>
  <c r="M1193" i="9"/>
  <c r="M1013" i="9"/>
  <c r="M937" i="9"/>
  <c r="M1368" i="9"/>
  <c r="M1248" i="9"/>
  <c r="M906" i="9"/>
  <c r="M1326" i="9"/>
  <c r="M907" i="9"/>
  <c r="M908" i="9"/>
  <c r="M909" i="9"/>
  <c r="M1033" i="9"/>
  <c r="M1222" i="9"/>
  <c r="M1034" i="9"/>
  <c r="M1223" i="9"/>
  <c r="M1299" i="9"/>
  <c r="M1300" i="9"/>
  <c r="M1168" i="9"/>
  <c r="M1369" i="9"/>
  <c r="M1054" i="9"/>
  <c r="M1055" i="9"/>
  <c r="M1169" i="9"/>
  <c r="M1275" i="9"/>
  <c r="M1170" i="9"/>
  <c r="M1144" i="9"/>
  <c r="M1249" i="9"/>
  <c r="M910" i="9"/>
  <c r="M1327" i="9"/>
  <c r="M1056" i="9"/>
  <c r="M1328" i="9"/>
  <c r="M1194" i="9"/>
  <c r="M1080" i="9"/>
  <c r="M1057" i="9"/>
  <c r="M1081" i="9"/>
  <c r="M1195" i="9"/>
  <c r="M1145" i="9"/>
  <c r="M1196" i="9"/>
  <c r="M1329" i="9"/>
  <c r="M1348" i="9"/>
  <c r="M938" i="9"/>
  <c r="M1370" i="9"/>
  <c r="M1330" i="9"/>
  <c r="M1250" i="9"/>
  <c r="M1171" i="9"/>
  <c r="M1301" i="9"/>
  <c r="M1251" i="9"/>
  <c r="M1146" i="9"/>
  <c r="M1331" i="9"/>
  <c r="M1349" i="9"/>
  <c r="M1127" i="9"/>
  <c r="M962" i="9"/>
  <c r="M1082" i="9"/>
  <c r="M1083" i="9"/>
  <c r="M1350" i="9"/>
  <c r="M1224" i="9"/>
  <c r="M1371" i="9"/>
  <c r="M1107" i="9"/>
  <c r="M1351" i="9"/>
  <c r="M1084" i="9"/>
  <c r="M1108" i="9"/>
  <c r="M1225" i="9"/>
  <c r="M1197" i="9"/>
  <c r="M1332" i="9"/>
  <c r="M1198" i="9"/>
  <c r="M1352" i="9"/>
  <c r="M911" i="9"/>
  <c r="M963" i="9"/>
  <c r="M1372" i="9"/>
  <c r="M964" i="9"/>
  <c r="M1172" i="9"/>
  <c r="M1252" i="9"/>
  <c r="M1253" i="9"/>
  <c r="M1373" i="9"/>
  <c r="M1353" i="9"/>
  <c r="M1254" i="9"/>
  <c r="M1035" i="9"/>
  <c r="M1226" i="9"/>
  <c r="M1354" i="9"/>
  <c r="M1227" i="9"/>
  <c r="M1058" i="9"/>
  <c r="M912" i="9"/>
  <c r="M1374" i="9"/>
  <c r="M1302" i="9"/>
  <c r="M939" i="9"/>
  <c r="M992" i="9"/>
  <c r="M993" i="9"/>
  <c r="M1199" i="9"/>
  <c r="M1276" i="9"/>
  <c r="M1277" i="9"/>
  <c r="M1375" i="9"/>
  <c r="M1255" i="9"/>
  <c r="M1085" i="9"/>
  <c r="M1200" i="9"/>
  <c r="M940" i="9"/>
  <c r="M994" i="9"/>
  <c r="M1333" i="9"/>
  <c r="M965" i="9"/>
  <c r="M1334" i="9"/>
  <c r="M1014" i="9"/>
  <c r="M1015" i="9"/>
  <c r="M1228" i="9"/>
  <c r="M1303" i="9"/>
  <c r="M1304" i="9"/>
  <c r="M1278" i="9"/>
  <c r="M1109" i="9"/>
  <c r="M1376" i="9"/>
  <c r="M1110" i="9"/>
  <c r="M1256" i="9"/>
  <c r="M1173" i="9"/>
  <c r="M1257" i="9"/>
  <c r="M995" i="9"/>
  <c r="M1201" i="9"/>
  <c r="M1202" i="9"/>
  <c r="M1229" i="9"/>
  <c r="M913" i="9"/>
  <c r="M1174" i="9"/>
  <c r="M1086" i="9"/>
  <c r="M1305" i="9"/>
  <c r="M1175" i="9"/>
  <c r="M1203" i="9"/>
  <c r="M914" i="9"/>
  <c r="M1306" i="9"/>
  <c r="M966" i="9"/>
  <c r="M941" i="9"/>
  <c r="M1128" i="9"/>
  <c r="M1129" i="9"/>
  <c r="M1279" i="9"/>
  <c r="M1204" i="9"/>
  <c r="M915" i="9"/>
  <c r="M1280" i="9"/>
  <c r="M1016" i="9"/>
  <c r="M1230" i="9"/>
  <c r="M1231" i="9"/>
  <c r="M1307" i="9"/>
  <c r="M1258" i="9"/>
  <c r="M1355" i="9"/>
  <c r="M1130" i="9"/>
  <c r="M1147" i="9"/>
  <c r="M1308" i="9"/>
  <c r="M1232" i="9"/>
  <c r="M942" i="9"/>
  <c r="M1309" i="9"/>
  <c r="M1111" i="9"/>
  <c r="M1205" i="9"/>
  <c r="M1036" i="9"/>
  <c r="M1259" i="9"/>
  <c r="M1059" i="9"/>
  <c r="M1260" i="9"/>
  <c r="M916" i="9"/>
  <c r="M1335" i="9"/>
  <c r="M1281" i="9"/>
  <c r="M1377" i="9"/>
  <c r="M917" i="9"/>
  <c r="M1233" i="9"/>
  <c r="M1282" i="9"/>
  <c r="M967" i="9"/>
  <c r="M996" i="9"/>
  <c r="M968" i="9"/>
  <c r="M1148" i="9"/>
  <c r="M1060" i="9"/>
  <c r="M1206" i="9"/>
  <c r="M1336" i="9"/>
  <c r="M1037" i="9"/>
  <c r="M1283" i="9"/>
  <c r="M1017" i="9"/>
  <c r="M1112" i="9"/>
  <c r="M997" i="9"/>
  <c r="M1234" i="9"/>
  <c r="M1149" i="9"/>
  <c r="M1356" i="9"/>
  <c r="M1061" i="9"/>
  <c r="M1310" i="9"/>
  <c r="M918" i="9"/>
  <c r="M1038" i="9"/>
  <c r="M1378" i="9"/>
  <c r="M1087" i="9"/>
  <c r="M1337" i="9"/>
  <c r="M943" i="9"/>
  <c r="M1062" i="9"/>
  <c r="M969" i="9"/>
  <c r="M1018" i="9"/>
  <c r="M1063" i="9"/>
  <c r="M1284" i="9"/>
  <c r="M1235" i="9"/>
  <c r="M1176" i="9"/>
  <c r="M1261" i="9"/>
  <c r="M919" i="9"/>
  <c r="M1088" i="9"/>
  <c r="M1019" i="9"/>
  <c r="M1311" i="9"/>
  <c r="M1312" i="9"/>
  <c r="M1338" i="9"/>
  <c r="M1020" i="9"/>
  <c r="M1262" i="9"/>
  <c r="M1263" i="9"/>
  <c r="M998" i="9"/>
  <c r="M1113" i="9"/>
  <c r="M1039" i="9"/>
  <c r="M1207" i="9"/>
  <c r="M1339" i="9"/>
  <c r="M1313" i="9"/>
  <c r="M1340" i="9"/>
  <c r="M1357" i="9"/>
  <c r="M1040" i="9"/>
  <c r="M1285" i="9"/>
  <c r="M1286" i="9"/>
  <c r="M1021" i="9"/>
  <c r="M1341" i="9"/>
  <c r="M1358" i="9"/>
  <c r="M1379" i="9"/>
  <c r="M1264" i="9"/>
  <c r="M1064" i="9"/>
  <c r="M1314" i="9"/>
  <c r="M1315" i="9"/>
  <c r="M1041" i="9"/>
  <c r="M920" i="9"/>
  <c r="M921" i="9"/>
  <c r="M1208" i="9"/>
  <c r="M944" i="9"/>
  <c r="M1022" i="9"/>
  <c r="M1359" i="9"/>
  <c r="M1131" i="9"/>
  <c r="M1177" i="9"/>
  <c r="M1132" i="9"/>
  <c r="M1114" i="9"/>
  <c r="M1265" i="9"/>
  <c r="M1115" i="9"/>
  <c r="M970" i="9"/>
  <c r="M945" i="9"/>
  <c r="M1342" i="9"/>
  <c r="M971" i="9"/>
  <c r="M1343" i="9"/>
  <c r="M1133" i="9"/>
  <c r="M1134" i="9"/>
  <c r="M1287" i="9"/>
  <c r="M1023" i="9"/>
  <c r="M946" i="9"/>
  <c r="M947" i="9"/>
  <c r="M1236" i="9"/>
  <c r="M972" i="9"/>
  <c r="M1042" i="9"/>
  <c r="M1380" i="9"/>
  <c r="M1209" i="9"/>
  <c r="M1178" i="9"/>
  <c r="M1179" i="9"/>
  <c r="M922" i="9"/>
  <c r="M1135" i="9"/>
  <c r="M1180" i="9"/>
  <c r="M1288" i="9"/>
  <c r="M1136" i="9"/>
  <c r="M999" i="9"/>
  <c r="M973" i="9"/>
  <c r="M1360" i="9"/>
  <c r="M1065" i="9"/>
  <c r="M1181" i="9"/>
  <c r="M974" i="9"/>
  <c r="M1043" i="9"/>
  <c r="M975" i="9"/>
  <c r="M1266" i="9"/>
  <c r="M1000" i="9"/>
  <c r="M1001" i="9"/>
  <c r="M1066" i="9"/>
  <c r="M1182" i="9"/>
  <c r="M1237" i="9"/>
  <c r="M1210" i="9"/>
  <c r="M1211" i="9"/>
  <c r="M948" i="9"/>
  <c r="M1183" i="9"/>
  <c r="M1002" i="9"/>
  <c r="M1212" i="9"/>
  <c r="M1316" i="9"/>
  <c r="M1024" i="9"/>
  <c r="M1003" i="9"/>
  <c r="M1381" i="9"/>
  <c r="M976" i="9"/>
  <c r="M1150" i="9"/>
  <c r="M1151" i="9"/>
  <c r="M1152" i="9"/>
  <c r="M1153" i="9"/>
  <c r="M1154" i="9"/>
  <c r="M1155" i="9"/>
  <c r="M1156" i="9"/>
  <c r="M1157" i="9"/>
  <c r="M1158" i="9"/>
  <c r="M1184" i="9"/>
  <c r="M1067" i="9"/>
  <c r="M949" i="9"/>
  <c r="M1044" i="9"/>
  <c r="M923" i="9"/>
  <c r="M1089" i="9"/>
  <c r="M1382" i="9"/>
  <c r="M977" i="9"/>
  <c r="M1383" i="9"/>
  <c r="M1045" i="9"/>
  <c r="M1090" i="9"/>
  <c r="M1289" i="9"/>
  <c r="M1361" i="9"/>
  <c r="M978" i="9"/>
  <c r="M1004" i="9"/>
  <c r="M1185" i="9"/>
  <c r="M1267" i="9"/>
  <c r="M1068" i="9"/>
  <c r="M1116" i="9"/>
  <c r="M1317" i="9"/>
  <c r="M1384" i="9"/>
  <c r="M1005" i="9"/>
  <c r="M1025" i="9"/>
  <c r="M1213" i="9"/>
  <c r="M1290" i="9"/>
  <c r="M1091" i="9"/>
  <c r="M1137" i="9"/>
  <c r="M1344" i="9"/>
  <c r="M1026" i="9"/>
  <c r="M1117" i="9"/>
  <c r="M1046" i="9"/>
  <c r="M1238" i="9"/>
  <c r="M1318" i="9"/>
  <c r="M1291" i="9"/>
  <c r="M1186" i="9"/>
  <c r="M1069" i="9"/>
  <c r="M1092" i="9"/>
  <c r="M1047" i="9"/>
  <c r="M1268" i="9"/>
  <c r="M1118" i="9"/>
  <c r="M1385" i="9"/>
  <c r="M1093" i="9"/>
  <c r="M924" i="9"/>
  <c r="M1386" i="9"/>
  <c r="M925" i="9"/>
  <c r="M1159" i="9"/>
  <c r="M979" i="9"/>
  <c r="M1027" i="9"/>
  <c r="M1138" i="9"/>
  <c r="M1362" i="9"/>
  <c r="M1048" i="9"/>
  <c r="M926" i="9"/>
  <c r="M927" i="9"/>
  <c r="M1119" i="9"/>
  <c r="M950" i="9"/>
  <c r="M1319" i="9"/>
  <c r="M980" i="9"/>
  <c r="M981" i="9"/>
  <c r="M1320" i="9"/>
  <c r="M1214" i="9"/>
  <c r="M1094" i="9"/>
  <c r="M1120" i="9"/>
  <c r="M1239" i="9"/>
  <c r="M928" i="9"/>
  <c r="M1070" i="9"/>
  <c r="M1292" i="9"/>
  <c r="M1139" i="9"/>
  <c r="M1293" i="9"/>
  <c r="M929" i="9"/>
  <c r="M1121" i="9"/>
  <c r="M951" i="9"/>
  <c r="M1095" i="9"/>
  <c r="M1096" i="9"/>
  <c r="M952" i="9"/>
  <c r="M1187" i="9"/>
  <c r="M1006" i="9"/>
  <c r="M1049" i="9"/>
  <c r="M1160" i="9"/>
  <c r="M1387" i="9"/>
  <c r="M1071" i="9"/>
  <c r="M953" i="9"/>
  <c r="M954" i="9"/>
  <c r="M1240" i="9"/>
  <c r="M1161" i="9"/>
  <c r="M1122" i="9"/>
  <c r="M1140" i="9"/>
  <c r="M955" i="9"/>
  <c r="M930" i="9"/>
  <c r="M1269" i="9"/>
  <c r="M956" i="9"/>
  <c r="M1097" i="9"/>
  <c r="M1321" i="9"/>
  <c r="M1162" i="9"/>
  <c r="M931" i="9"/>
  <c r="M1322" i="9"/>
  <c r="M957" i="9"/>
  <c r="M1141" i="9"/>
  <c r="M1098" i="9"/>
  <c r="M932" i="9"/>
  <c r="M982" i="9"/>
  <c r="M1123" i="9"/>
  <c r="M1124" i="9"/>
  <c r="M933" i="9"/>
  <c r="M983" i="9"/>
  <c r="M1028" i="9"/>
  <c r="M1215" i="9"/>
  <c r="M1029" i="9"/>
  <c r="M1072" i="9"/>
  <c r="M1188" i="9"/>
  <c r="M1099" i="9"/>
  <c r="M984" i="9"/>
  <c r="M985" i="9"/>
  <c r="M986" i="9"/>
  <c r="M1050" i="9"/>
  <c r="M1007" i="9"/>
  <c r="M1073" i="9"/>
  <c r="M1100" i="9"/>
  <c r="M987" i="9"/>
  <c r="M1447" i="9"/>
  <c r="M1389" i="9"/>
  <c r="M1448" i="9"/>
  <c r="M1680" i="9"/>
  <c r="M1414" i="9"/>
  <c r="M1474" i="9"/>
  <c r="M1390" i="9"/>
  <c r="M1688" i="9"/>
  <c r="M1449" i="9"/>
  <c r="M1475" i="9"/>
  <c r="M1496" i="9"/>
  <c r="M1415" i="9"/>
  <c r="M1416" i="9"/>
  <c r="M1696" i="9"/>
  <c r="M1391" i="9"/>
  <c r="M1392" i="9"/>
  <c r="M1476" i="9"/>
  <c r="M1417" i="9"/>
  <c r="M1497" i="9"/>
  <c r="M1393" i="9"/>
  <c r="M1539" i="9"/>
  <c r="M1450" i="9"/>
  <c r="M1394" i="9"/>
  <c r="M1418" i="9"/>
  <c r="M1419" i="9"/>
  <c r="M1498" i="9"/>
  <c r="M1451" i="9"/>
  <c r="M1395" i="9"/>
  <c r="M1517" i="9"/>
  <c r="M1420" i="9"/>
  <c r="M1396" i="9"/>
  <c r="M1560" i="9"/>
  <c r="M1477" i="9"/>
  <c r="M1421" i="9"/>
  <c r="M1607" i="9"/>
  <c r="M1452" i="9"/>
  <c r="M1422" i="9"/>
  <c r="M1518" i="9"/>
  <c r="M1478" i="9"/>
  <c r="M1499" i="9"/>
  <c r="M1423" i="9"/>
  <c r="M1397" i="9"/>
  <c r="M1540" i="9"/>
  <c r="M1453" i="9"/>
  <c r="M1424" i="9"/>
  <c r="M1576" i="9"/>
  <c r="M1500" i="9"/>
  <c r="M1454" i="9"/>
  <c r="M1541" i="9"/>
  <c r="M1479" i="9"/>
  <c r="M1561" i="9"/>
  <c r="M1501" i="9"/>
  <c r="M1542" i="9"/>
  <c r="M1577" i="9"/>
  <c r="M1519" i="9"/>
  <c r="M1502" i="9"/>
  <c r="M1709" i="9"/>
  <c r="M1455" i="9"/>
  <c r="M1425" i="9"/>
  <c r="M1658" i="9"/>
  <c r="M1562" i="9"/>
  <c r="M1608" i="9"/>
  <c r="M1480" i="9"/>
  <c r="M1621" i="9"/>
  <c r="M1543" i="9"/>
  <c r="M1634" i="9"/>
  <c r="M1595" i="9"/>
  <c r="M1689" i="9"/>
  <c r="M1674" i="9"/>
  <c r="M1481" i="9"/>
  <c r="M1635" i="9"/>
  <c r="M1675" i="9"/>
  <c r="M1659" i="9"/>
  <c r="M1456" i="9"/>
  <c r="M1520" i="9"/>
  <c r="M1503" i="9"/>
  <c r="M1647" i="9"/>
  <c r="M1521" i="9"/>
  <c r="M1482" i="9"/>
  <c r="M1522" i="9"/>
  <c r="M1710" i="9"/>
  <c r="M1426" i="9"/>
  <c r="M1609" i="9"/>
  <c r="M1483" i="9"/>
  <c r="M1457" i="9"/>
  <c r="M1669" i="9"/>
  <c r="M1427" i="9"/>
  <c r="M1578" i="9"/>
  <c r="M1636" i="9"/>
  <c r="M1622" i="9"/>
  <c r="M1690" i="9"/>
  <c r="M1504" i="9"/>
  <c r="M1648" i="9"/>
  <c r="M1637" i="9"/>
  <c r="M1596" i="9"/>
  <c r="M1563" i="9"/>
  <c r="M1649" i="9"/>
  <c r="M1610" i="9"/>
  <c r="M1484" i="9"/>
  <c r="M1398" i="9"/>
  <c r="M1697" i="9"/>
  <c r="M1681" i="9"/>
  <c r="M1505" i="9"/>
  <c r="M1650" i="9"/>
  <c r="M1682" i="9"/>
  <c r="M1579" i="9"/>
  <c r="M1580" i="9"/>
  <c r="M1676" i="9"/>
  <c r="M1458" i="9"/>
  <c r="M1428" i="9"/>
  <c r="M1597" i="9"/>
  <c r="M1683" i="9"/>
  <c r="M1651" i="9"/>
  <c r="M1638" i="9"/>
  <c r="M1485" i="9"/>
  <c r="M1429" i="9"/>
  <c r="M1698" i="9"/>
  <c r="M1523" i="9"/>
  <c r="M1623" i="9"/>
  <c r="M1660" i="9"/>
  <c r="M1581" i="9"/>
  <c r="M1639" i="9"/>
  <c r="M1399" i="9"/>
  <c r="M1652" i="9"/>
  <c r="M1564" i="9"/>
  <c r="M1624" i="9"/>
  <c r="M1486" i="9"/>
  <c r="M1684" i="9"/>
  <c r="M1611" i="9"/>
  <c r="M1582" i="9"/>
  <c r="M1459" i="9"/>
  <c r="M1661" i="9"/>
  <c r="M1625" i="9"/>
  <c r="M1506" i="9"/>
  <c r="M1507" i="9"/>
  <c r="M1670" i="9"/>
  <c r="M1508" i="9"/>
  <c r="M1583" i="9"/>
  <c r="M1460" i="9"/>
  <c r="M1430" i="9"/>
  <c r="M1544" i="9"/>
  <c r="M1700" i="9"/>
  <c r="M1691" i="9"/>
  <c r="M1487" i="9"/>
  <c r="M1524" i="9"/>
  <c r="M1626" i="9"/>
  <c r="M1662" i="9"/>
  <c r="M1488" i="9"/>
  <c r="M1692" i="9"/>
  <c r="M1584" i="9"/>
  <c r="M1525" i="9"/>
  <c r="M1461" i="9"/>
  <c r="M1677" i="9"/>
  <c r="M1640" i="9"/>
  <c r="M1685" i="9"/>
  <c r="M1653" i="9"/>
  <c r="M1693" i="9"/>
  <c r="M1663" i="9"/>
  <c r="M1707" i="9"/>
  <c r="M1686" i="9"/>
  <c r="M1654" i="9"/>
  <c r="M1585" i="9"/>
  <c r="M1586" i="9"/>
  <c r="M1655" i="9"/>
  <c r="M1699" i="9"/>
  <c r="M1678" i="9"/>
  <c r="M1641" i="9"/>
  <c r="M1703" i="9"/>
  <c r="M1664" i="9"/>
  <c r="M1627" i="9"/>
  <c r="M1587" i="9"/>
  <c r="M1704" i="9"/>
  <c r="M1708" i="9"/>
  <c r="M1694" i="9"/>
  <c r="M1665" i="9"/>
  <c r="M1588" i="9"/>
  <c r="M1666" i="9"/>
  <c r="M1628" i="9"/>
  <c r="M1589" i="9"/>
  <c r="M1701" i="9"/>
  <c r="M1687" i="9"/>
  <c r="M1629" i="9"/>
  <c r="M1656" i="9"/>
  <c r="M1705" i="9"/>
  <c r="M1630" i="9"/>
  <c r="M1671" i="9"/>
  <c r="M1642" i="9"/>
  <c r="M1590" i="9"/>
  <c r="M1631" i="9"/>
  <c r="M1672" i="9"/>
  <c r="M1591" i="9"/>
  <c r="M1673" i="9"/>
  <c r="M1643" i="9"/>
  <c r="M1592" i="9"/>
  <c r="M1702" i="9"/>
  <c r="M1695" i="9"/>
  <c r="M1644" i="9"/>
  <c r="M1667" i="9"/>
  <c r="M1706" i="9"/>
  <c r="M1645" i="9"/>
  <c r="M1679" i="9"/>
  <c r="M1657" i="9"/>
  <c r="M1632" i="9"/>
  <c r="M1633" i="9"/>
  <c r="M1593" i="9"/>
  <c r="M1646" i="9"/>
  <c r="M1594" i="9"/>
  <c r="M1612" i="9"/>
  <c r="M1613" i="9"/>
  <c r="M1614" i="9"/>
  <c r="M1615" i="9"/>
  <c r="M1616" i="9"/>
  <c r="M1617" i="9"/>
  <c r="M1618" i="9"/>
  <c r="M1619" i="9"/>
  <c r="M1620" i="9"/>
  <c r="M1489" i="9"/>
  <c r="M1490" i="9"/>
  <c r="M1491" i="9"/>
  <c r="M1492" i="9"/>
  <c r="M1493" i="9"/>
  <c r="M1494" i="9"/>
  <c r="M1495" i="9"/>
  <c r="M1598" i="9"/>
  <c r="M1599" i="9"/>
  <c r="M1600" i="9"/>
  <c r="M1601" i="9"/>
  <c r="M1602" i="9"/>
  <c r="M1603" i="9"/>
  <c r="M1604" i="9"/>
  <c r="M1605" i="9"/>
  <c r="M1509" i="9"/>
  <c r="M1510" i="9"/>
  <c r="M1511" i="9"/>
  <c r="M1512" i="9"/>
  <c r="M1513" i="9"/>
  <c r="M1514" i="9"/>
  <c r="M1515" i="9"/>
  <c r="M1462" i="9"/>
  <c r="M1463" i="9"/>
  <c r="M1464" i="9"/>
  <c r="M1465" i="9"/>
  <c r="M1466" i="9"/>
  <c r="M1467" i="9"/>
  <c r="M1468" i="9"/>
  <c r="M1469" i="9"/>
  <c r="M1470" i="9"/>
  <c r="M1471" i="9"/>
  <c r="M1472" i="9"/>
  <c r="M1565" i="9"/>
  <c r="M1566" i="9"/>
  <c r="M1567" i="9"/>
  <c r="M1568" i="9"/>
  <c r="M1569" i="9"/>
  <c r="M1570" i="9"/>
  <c r="M1571" i="9"/>
  <c r="M1572" i="9"/>
  <c r="M1573" i="9"/>
  <c r="M1574" i="9"/>
  <c r="M157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265" i="9"/>
  <c r="M266" i="9"/>
  <c r="M267" i="9"/>
  <c r="M268" i="9"/>
  <c r="M269" i="9"/>
  <c r="M270" i="9"/>
  <c r="M149" i="9"/>
  <c r="M150" i="9"/>
  <c r="M151" i="9"/>
  <c r="M152" i="9"/>
  <c r="M513" i="9"/>
  <c r="M514" i="9"/>
  <c r="M515" i="9"/>
  <c r="M516" i="9"/>
  <c r="M517" i="9"/>
  <c r="M518" i="9"/>
  <c r="M519" i="9"/>
  <c r="M389" i="9"/>
  <c r="M390" i="9"/>
  <c r="M391" i="9"/>
  <c r="M392" i="9"/>
  <c r="M615" i="9"/>
  <c r="M616" i="9"/>
  <c r="M617" i="9"/>
  <c r="M32" i="9"/>
  <c r="M33" i="9"/>
  <c r="M34" i="9"/>
  <c r="M35" i="9"/>
  <c r="M36" i="9"/>
  <c r="M37" i="9"/>
  <c r="M38" i="9"/>
  <c r="M39" i="9"/>
  <c r="M40" i="9"/>
  <c r="M41" i="9"/>
  <c r="M42" i="9"/>
  <c r="M797" i="9"/>
  <c r="M798" i="9"/>
  <c r="M701" i="9"/>
  <c r="M868" i="9"/>
  <c r="M799" i="9"/>
  <c r="M899" i="9"/>
  <c r="M745" i="9"/>
  <c r="M702" i="9"/>
  <c r="M746" i="9"/>
  <c r="M747" i="9"/>
  <c r="M900" i="9"/>
  <c r="M703" i="9"/>
  <c r="M748" i="9"/>
  <c r="M704" i="9"/>
  <c r="M749" i="9"/>
  <c r="M3" i="9"/>
  <c r="M4" i="9"/>
  <c r="M1074" i="9"/>
  <c r="M1516" i="9"/>
  <c r="M1668" i="9"/>
  <c r="M1101" i="9"/>
  <c r="M958" i="9"/>
  <c r="M1606" i="9"/>
  <c r="M1163" i="9"/>
  <c r="M1189" i="9"/>
  <c r="M1008" i="9"/>
  <c r="M1009" i="9"/>
  <c r="M1125" i="9"/>
  <c r="M1216" i="9"/>
  <c r="M1538" i="9"/>
  <c r="M1388" i="9"/>
  <c r="M1241" i="9"/>
  <c r="M1363" i="9"/>
  <c r="M1473" i="9"/>
  <c r="M1190" i="9"/>
  <c r="M1559" i="9"/>
  <c r="M618" i="9"/>
  <c r="M271" i="9"/>
  <c r="M272" i="9"/>
  <c r="M393" i="9"/>
  <c r="M520" i="9"/>
  <c r="M394" i="9"/>
  <c r="M521" i="9"/>
  <c r="M750" i="9"/>
  <c r="M522" i="9"/>
  <c r="M619" i="9"/>
  <c r="M829" i="9"/>
  <c r="M43" i="9"/>
  <c r="M751" i="9"/>
  <c r="M523" i="9"/>
  <c r="M395" i="9"/>
  <c r="M153" i="9"/>
  <c r="M46" i="9" l="1"/>
  <c r="M45" i="9"/>
</calcChain>
</file>

<file path=xl/sharedStrings.xml><?xml version="1.0" encoding="utf-8"?>
<sst xmlns="http://schemas.openxmlformats.org/spreadsheetml/2006/main" count="15398" uniqueCount="82">
  <si>
    <t>Date</t>
  </si>
  <si>
    <t>EmpID</t>
  </si>
  <si>
    <t>Gender</t>
  </si>
  <si>
    <t>Department</t>
  </si>
  <si>
    <t>Position</t>
  </si>
  <si>
    <t>Age</t>
  </si>
  <si>
    <t>EthnicGroup</t>
  </si>
  <si>
    <t>Employment Type</t>
  </si>
  <si>
    <t>BU Region</t>
  </si>
  <si>
    <t>HireDate</t>
  </si>
  <si>
    <t>EndDate</t>
  </si>
  <si>
    <t>PayType</t>
  </si>
  <si>
    <t>AgeGroup</t>
  </si>
  <si>
    <t>Date (Year)</t>
  </si>
  <si>
    <t>Income</t>
  </si>
  <si>
    <t>Logistics</t>
  </si>
  <si>
    <t>Warehouse Manager</t>
  </si>
  <si>
    <t>Group G</t>
  </si>
  <si>
    <t>PT</t>
  </si>
  <si>
    <t>East</t>
  </si>
  <si>
    <t>Hourly</t>
  </si>
  <si>
    <t>&lt;25</t>
  </si>
  <si>
    <t>2016</t>
  </si>
  <si>
    <t>Sales</t>
  </si>
  <si>
    <t>Sales Director</t>
  </si>
  <si>
    <t>Group F</t>
  </si>
  <si>
    <t>West</t>
  </si>
  <si>
    <t>HR</t>
  </si>
  <si>
    <t>HR Manager</t>
  </si>
  <si>
    <t>Legal</t>
  </si>
  <si>
    <t>Legal Manager</t>
  </si>
  <si>
    <t>Group D</t>
  </si>
  <si>
    <t>2017</t>
  </si>
  <si>
    <t>Legal Officer</t>
  </si>
  <si>
    <t>Group E</t>
  </si>
  <si>
    <t>South</t>
  </si>
  <si>
    <t>In-house Lawyer</t>
  </si>
  <si>
    <t>North</t>
  </si>
  <si>
    <t>CS</t>
  </si>
  <si>
    <t>Customer Care</t>
  </si>
  <si>
    <t>2018</t>
  </si>
  <si>
    <t>IT</t>
  </si>
  <si>
    <t>IT Manager</t>
  </si>
  <si>
    <t>Technical</t>
  </si>
  <si>
    <t>Technical Team Leader</t>
  </si>
  <si>
    <t>Customer Service Manager</t>
  </si>
  <si>
    <t>Group B</t>
  </si>
  <si>
    <t>Marketing</t>
  </si>
  <si>
    <t>Marketing Manager</t>
  </si>
  <si>
    <t>Group A</t>
  </si>
  <si>
    <t>Finance</t>
  </si>
  <si>
    <t>Finance Manager</t>
  </si>
  <si>
    <t>Operations</t>
  </si>
  <si>
    <t>Operations Staff</t>
  </si>
  <si>
    <t>25–30</t>
  </si>
  <si>
    <t>Accountant</t>
  </si>
  <si>
    <t>FT</t>
  </si>
  <si>
    <t>Salary</t>
  </si>
  <si>
    <t>Storekeeper</t>
  </si>
  <si>
    <t>Group C</t>
  </si>
  <si>
    <t>Software Engineer</t>
  </si>
  <si>
    <t>Customer Service Team Leader</t>
  </si>
  <si>
    <t>Network Administrator</t>
  </si>
  <si>
    <t>Auditor</t>
  </si>
  <si>
    <t>Content Specialist</t>
  </si>
  <si>
    <t>Sales Executive</t>
  </si>
  <si>
    <t>Technical Manager</t>
  </si>
  <si>
    <t>Operations Supervisor</t>
  </si>
  <si>
    <t>System Engineer</t>
  </si>
  <si>
    <t>Head of Operations</t>
  </si>
  <si>
    <t>Warehouse Staff</t>
  </si>
  <si>
    <t>Sales Team Leader</t>
  </si>
  <si>
    <t>Recruitment Specialist</t>
  </si>
  <si>
    <t>Marketing Executive</t>
  </si>
  <si>
    <t>Training Specialist</t>
  </si>
  <si>
    <t>31–40</t>
  </si>
  <si>
    <t>41–50</t>
  </si>
  <si>
    <t>&gt;50</t>
  </si>
  <si>
    <t>Status</t>
  </si>
  <si>
    <t>Female</t>
  </si>
  <si>
    <t>Male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</si>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</sst>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1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65" formatCode="m/d/yyyy"/>
    </dxf>
    <dxf>
      <numFmt numFmtId="165" formatCode="m/d/yyyy"/>
    </dxf>
    <dxf>
      <numFmt numFmtId="165" formatCode="m/d/yyyy"/>
    </dxf>
    <dxf>
      <numFmt numFmtId="0" formatCode="General"/>
    </dxf>
    <dxf>
      <numFmt numFmtId="1" formatCode="0"/>
    </dxf>
    <dxf>
      <numFmt numFmtId="165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3" defaultTableStyle="TableStyleMedium2" defaultPivotStyle="PivotStyleLight16">
    <tableStyle name="Slicer Style 1" pivot="0" table="0" count="2" xr9:uid="{D417D8F0-B65E-4D79-A9E6-F0C7C682BB53}"/>
    <tableStyle name="Slicer Style 2" pivot="0" table="0" count="2" xr9:uid="{489BEE1D-63CF-4AEF-B687-D1898DCDE435}"/>
    <tableStyle name="Slicer Style 3" pivot="0" table="0" count="2" xr9:uid="{9716B02E-7BB3-495F-B569-2AC950D31139}"/>
  </tableStyles>
  <colors>
    <mruColors>
      <color rgb="FF89824E"/>
      <color rgb="FF638774"/>
      <color rgb="FF004A3A"/>
      <color rgb="FF445F51"/>
      <color rgb="FFD9D9D9"/>
      <color rgb="FFEBF5D8"/>
      <color rgb="FF8A0000"/>
      <color rgb="FFFF6600"/>
    </mruColors>
  </colors>
  <extLst>
    <ext xmlns:x14="http://schemas.microsoft.com/office/spreadsheetml/2009/9/main" uri="{46F421CA-312F-682f-3DD2-61675219B42D}">
      <x14:dxfs count="6">
        <dxf>
          <fill>
            <patternFill>
              <bgColor theme="9" tint="-0.24994659260841701"/>
            </patternFill>
          </fill>
        </dxf>
        <dxf>
          <fill>
            <patternFill>
              <bgColor theme="8" tint="0.79998168889431442"/>
            </patternFill>
          </fill>
        </dxf>
        <dxf>
          <font>
            <color theme="0"/>
          </font>
          <fill>
            <patternFill>
              <bgColor theme="7" tint="-0.24994659260841701"/>
            </patternFill>
          </fill>
        </dxf>
        <dxf>
          <font>
            <color theme="0" tint="-0.24994659260841701"/>
          </font>
          <fill>
            <patternFill>
              <bgColor theme="7" tint="0.79998168889431442"/>
            </patternFill>
          </fill>
        </dxf>
        <dxf>
          <font>
            <color theme="0"/>
          </font>
          <fill>
            <patternFill>
              <bgColor theme="4" tint="-0.499984740745262"/>
            </patternFill>
          </fill>
        </dxf>
        <dxf>
          <font>
            <color theme="0"/>
          </font>
          <fill>
            <patternFill>
              <bgColor theme="0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5"/>
            <x14:slicerStyleElement type="selectedItemWithData" dxfId="4"/>
          </x14:slicerStyleElements>
        </x14:slicerStyle>
        <x14:slicerStyle name="Slicer Style 2">
          <x14:slicerStyleElements>
            <x14:slicerStyleElement type="unselectedItemWithData" dxfId="3"/>
            <x14:slicerStyleElement type="selectedItemWithData" dxfId="2"/>
          </x14:slicerStyleElements>
        </x14:slicerStyle>
        <x14:slicerStyle name="Slicer Style 3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FD92BE-7E0D-4946-B0FE-7FCF9A307C6A}" name="Data" displayName="Data" ref="A1:Q1710" totalsRowShown="0" headerRowDxfId="7">
  <autoFilter ref="A1:Q1710" xr:uid="{95FD92BE-7E0D-4946-B0FE-7FCF9A307C6A}"/>
  <sortState xmlns:xlrd2="http://schemas.microsoft.com/office/spreadsheetml/2017/richdata2" ref="A2:Q1710">
    <sortCondition ref="F1:F1710"/>
  </sortState>
  <tableColumns count="17">
    <tableColumn id="1" xr3:uid="{84A4F255-504B-498B-98EA-9BD02EFC8DB8}" name="Date" dataDxfId="6"/>
    <tableColumn id="2" xr3:uid="{0BD89791-0928-4607-8D09-C24D7C8E50BF}" name="EmpID"/>
    <tableColumn id="3" xr3:uid="{CF0C82E5-626D-49C1-8CC8-1CB1B14C7105}" name="Gender"/>
    <tableColumn id="4" xr3:uid="{FC4169BE-382F-49D0-A472-D0728142CE54}" name="Department"/>
    <tableColumn id="5" xr3:uid="{3BC1626E-D26F-435B-A56C-312C272B78C9}" name="Position"/>
    <tableColumn id="6" xr3:uid="{D3003E4C-19CE-432C-A377-CBAB9168A0EE}" name="Age" dataDxfId="5"/>
    <tableColumn id="20" xr3:uid="{A33B1C3C-3A52-FB46-ACD7-ECEEA4048C84}" name="Age Group" dataDxfId="4">
      <calculatedColumnFormula>IF(Data[[#This Row],[Age]]&lt;25,"Under 25",IF(Data[[#This Row],[Age]]&lt;35,"25–34",IF(Data[[#This Row],[Age]]&lt;45,"35–44",IF(Data[[#This Row],[Age]]&lt;55,"45–54","55+"))))</calculatedColumnFormula>
    </tableColumn>
    <tableColumn id="7" xr3:uid="{D56837E7-9422-4621-9476-2EA329A1AFC2}" name="EthnicGroup"/>
    <tableColumn id="8" xr3:uid="{DACF565F-AB47-47D0-BEA5-A6F661767DEF}" name="Employment Type"/>
    <tableColumn id="9" xr3:uid="{9E5E089C-4B39-4915-B446-627ADD708FA0}" name="BU Region"/>
    <tableColumn id="10" xr3:uid="{0959E6FE-FAA7-4E39-8B56-2C2CD9293851}" name="HireDate" dataDxfId="3"/>
    <tableColumn id="11" xr3:uid="{CA41CF7B-7275-4F64-8942-D5CBFCF94DC4}" name="EndDate" dataDxfId="2"/>
    <tableColumn id="16" xr3:uid="{207987F3-920E-4968-AAE1-5072818EAACA}" name="Status" dataDxfId="1">
      <calculatedColumnFormula>IF(ISBLANK(Data[[#This Row],[EndDate]]),"Active","InActive")</calculatedColumnFormula>
    </tableColumn>
    <tableColumn id="12" xr3:uid="{D2824D18-12C3-4A1D-B27E-754828784D7A}" name="PayType"/>
    <tableColumn id="13" xr3:uid="{E98A1183-B6A1-4A39-BDA2-3687E19ABA6E}" name="AgeGroup"/>
    <tableColumn id="14" xr3:uid="{C1C8EA2C-AEAA-4560-AAC3-C56FF1F9A4E6}" name="Date (Year)"/>
    <tableColumn id="15" xr3:uid="{9EDDB76C-95F5-4A74-B8F1-DD461888F334}" name="Income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F2EE-639E-45ED-889E-B0318C3B7503}">
  <dimension ref="A1:Q1710"/>
  <sheetViews>
    <sheetView showGridLines="0" tabSelected="1" view="pageBreakPreview" topLeftCell="C1" zoomScale="85" zoomScaleNormal="100" zoomScaleSheetLayoutView="85" workbookViewId="0">
      <selection activeCell="G2" sqref="G2:G1710"/>
    </sheetView>
  </sheetViews>
  <sheetFormatPr baseColWidth="10" defaultColWidth="8.83203125" defaultRowHeight="15" x14ac:dyDescent="0.2"/>
  <cols>
    <col min="1" max="1" width="9.6640625" style="1" hidden="1" customWidth="1"/>
    <col min="2" max="2" width="9" bestFit="1" customWidth="1"/>
    <col min="3" max="3" width="10" bestFit="1" customWidth="1"/>
    <col min="4" max="5" width="22.6640625" bestFit="1" customWidth="1"/>
    <col min="6" max="6" width="6.6640625" style="5" bestFit="1" customWidth="1"/>
    <col min="7" max="7" width="15" bestFit="1" customWidth="1"/>
    <col min="8" max="8" width="14.33203125" bestFit="1" customWidth="1"/>
    <col min="9" max="9" width="18" customWidth="1"/>
    <col min="10" max="10" width="12.5" bestFit="1" customWidth="1"/>
    <col min="11" max="11" width="11.1640625" style="1" bestFit="1" customWidth="1"/>
    <col min="12" max="13" width="11.1640625" style="1" customWidth="1"/>
    <col min="14" max="14" width="10.6640625" bestFit="1" customWidth="1"/>
    <col min="15" max="15" width="12.33203125" bestFit="1" customWidth="1"/>
    <col min="16" max="16" width="15.6640625" bestFit="1" customWidth="1"/>
    <col min="17" max="17" width="10.1640625" bestFit="1" customWidth="1"/>
  </cols>
  <sheetData>
    <row r="1" spans="1:17" s="4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4" t="s">
        <v>81</v>
      </c>
      <c r="H1" s="4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78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2">
      <c r="A2" s="1">
        <v>42705</v>
      </c>
      <c r="B2">
        <v>43308</v>
      </c>
      <c r="C2" t="s">
        <v>80</v>
      </c>
      <c r="D2" t="s">
        <v>15</v>
      </c>
      <c r="E2" t="s">
        <v>58</v>
      </c>
      <c r="F2" s="5">
        <v>16</v>
      </c>
      <c r="G2" t="str">
        <f>IF(Data[[#This Row],[Age]]&lt;25,"Under 25",IF(Data[[#This Row],[Age]]&lt;35,"25–34",IF(Data[[#This Row],[Age]]&lt;45,"35–44",IF(Data[[#This Row],[Age]]&lt;55,"45–54","55+"))))</f>
        <v>Under 25</v>
      </c>
      <c r="H2" t="s">
        <v>59</v>
      </c>
      <c r="I2" t="s">
        <v>56</v>
      </c>
      <c r="J2" t="s">
        <v>35</v>
      </c>
      <c r="K2" s="1">
        <v>41213</v>
      </c>
      <c r="M2" s="1" t="str">
        <f>IF(ISBLANK(Data[[#This Row],[EndDate]]),"Active","InActive")</f>
        <v>Active</v>
      </c>
      <c r="N2" t="s">
        <v>57</v>
      </c>
      <c r="O2" t="s">
        <v>21</v>
      </c>
      <c r="P2" t="s">
        <v>22</v>
      </c>
      <c r="Q2" s="2">
        <v>2712</v>
      </c>
    </row>
    <row r="3" spans="1:17" x14ac:dyDescent="0.2">
      <c r="A3" s="1">
        <v>43070</v>
      </c>
      <c r="B3">
        <v>32044</v>
      </c>
      <c r="C3" t="s">
        <v>80</v>
      </c>
      <c r="D3" t="s">
        <v>52</v>
      </c>
      <c r="E3" t="s">
        <v>67</v>
      </c>
      <c r="F3" s="5">
        <v>16</v>
      </c>
      <c r="G3" t="str">
        <f>IF(Data[[#This Row],[Age]]&lt;25,"Under 25",IF(Data[[#This Row],[Age]]&lt;35,"25–34",IF(Data[[#This Row],[Age]]&lt;45,"35–44",IF(Data[[#This Row],[Age]]&lt;55,"45–54","55+"))))</f>
        <v>Under 25</v>
      </c>
      <c r="H3" t="s">
        <v>46</v>
      </c>
      <c r="I3" t="s">
        <v>18</v>
      </c>
      <c r="J3" t="s">
        <v>37</v>
      </c>
      <c r="K3" s="1">
        <v>41524</v>
      </c>
      <c r="M3" s="1" t="str">
        <f>IF(ISBLANK(Data[[#This Row],[EndDate]]),"Active","InActive")</f>
        <v>Active</v>
      </c>
      <c r="N3" t="s">
        <v>20</v>
      </c>
      <c r="O3" t="s">
        <v>21</v>
      </c>
      <c r="P3" t="s">
        <v>32</v>
      </c>
      <c r="Q3" s="2">
        <v>1040</v>
      </c>
    </row>
    <row r="4" spans="1:17" x14ac:dyDescent="0.2">
      <c r="A4" s="1">
        <v>43070</v>
      </c>
      <c r="B4">
        <v>32068</v>
      </c>
      <c r="C4" t="s">
        <v>80</v>
      </c>
      <c r="D4" t="s">
        <v>29</v>
      </c>
      <c r="E4" t="s">
        <v>36</v>
      </c>
      <c r="F4" s="5">
        <v>16</v>
      </c>
      <c r="G4" t="str">
        <f>IF(Data[[#This Row],[Age]]&lt;25,"Under 25",IF(Data[[#This Row],[Age]]&lt;35,"25–34",IF(Data[[#This Row],[Age]]&lt;45,"35–44",IF(Data[[#This Row],[Age]]&lt;55,"45–54","55+"))))</f>
        <v>Under 25</v>
      </c>
      <c r="H4" t="s">
        <v>49</v>
      </c>
      <c r="I4" t="s">
        <v>18</v>
      </c>
      <c r="J4" t="s">
        <v>37</v>
      </c>
      <c r="K4" s="1">
        <v>41605</v>
      </c>
      <c r="M4" s="1" t="str">
        <f>IF(ISBLANK(Data[[#This Row],[EndDate]]),"Active","InActive")</f>
        <v>Active</v>
      </c>
      <c r="N4" t="s">
        <v>20</v>
      </c>
      <c r="O4" t="s">
        <v>21</v>
      </c>
      <c r="P4" t="s">
        <v>32</v>
      </c>
      <c r="Q4" s="2">
        <v>864</v>
      </c>
    </row>
    <row r="5" spans="1:17" x14ac:dyDescent="0.2">
      <c r="A5" s="1">
        <v>42705</v>
      </c>
      <c r="B5">
        <v>101290</v>
      </c>
      <c r="C5" t="s">
        <v>79</v>
      </c>
      <c r="D5" t="s">
        <v>43</v>
      </c>
      <c r="E5" t="s">
        <v>60</v>
      </c>
      <c r="F5" s="5">
        <v>17</v>
      </c>
      <c r="G5" t="str">
        <f>IF(Data[[#This Row],[Age]]&lt;25,"Under 25",IF(Data[[#This Row],[Age]]&lt;35,"25–34",IF(Data[[#This Row],[Age]]&lt;45,"35–44",IF(Data[[#This Row],[Age]]&lt;55,"45–54","55+"))))</f>
        <v>Under 25</v>
      </c>
      <c r="H5" t="s">
        <v>59</v>
      </c>
      <c r="I5" t="s">
        <v>56</v>
      </c>
      <c r="J5" t="s">
        <v>37</v>
      </c>
      <c r="K5" s="1">
        <v>41201</v>
      </c>
      <c r="L5" s="1">
        <v>41236</v>
      </c>
      <c r="M5" s="1" t="str">
        <f>IF(ISBLANK(Data[[#This Row],[EndDate]]),"Active","InActive")</f>
        <v>InActive</v>
      </c>
      <c r="N5" t="s">
        <v>57</v>
      </c>
      <c r="O5" t="s">
        <v>21</v>
      </c>
      <c r="P5" t="s">
        <v>22</v>
      </c>
      <c r="Q5" s="2">
        <v>1122</v>
      </c>
    </row>
    <row r="6" spans="1:17" x14ac:dyDescent="0.2">
      <c r="A6" s="1">
        <v>43070</v>
      </c>
      <c r="B6">
        <v>26778</v>
      </c>
      <c r="C6" t="s">
        <v>80</v>
      </c>
      <c r="D6" t="s">
        <v>38</v>
      </c>
      <c r="E6" t="s">
        <v>61</v>
      </c>
      <c r="F6" s="5">
        <v>17</v>
      </c>
      <c r="G6" t="str">
        <f>IF(Data[[#This Row],[Age]]&lt;25,"Under 25",IF(Data[[#This Row],[Age]]&lt;35,"25–34",IF(Data[[#This Row],[Age]]&lt;45,"35–44",IF(Data[[#This Row],[Age]]&lt;55,"45–54","55+"))))</f>
        <v>Under 25</v>
      </c>
      <c r="H6" t="s">
        <v>59</v>
      </c>
      <c r="I6" t="s">
        <v>56</v>
      </c>
      <c r="J6" t="s">
        <v>35</v>
      </c>
      <c r="K6" s="1">
        <v>41294</v>
      </c>
      <c r="M6" s="1" t="str">
        <f>IF(ISBLANK(Data[[#This Row],[EndDate]]),"Active","InActive")</f>
        <v>Active</v>
      </c>
      <c r="N6" t="s">
        <v>57</v>
      </c>
      <c r="O6" t="s">
        <v>21</v>
      </c>
      <c r="P6" t="s">
        <v>32</v>
      </c>
      <c r="Q6" s="2">
        <v>4301</v>
      </c>
    </row>
    <row r="7" spans="1:17" x14ac:dyDescent="0.2">
      <c r="A7" s="1">
        <v>43070</v>
      </c>
      <c r="B7">
        <v>43308</v>
      </c>
      <c r="C7" t="s">
        <v>80</v>
      </c>
      <c r="D7" t="s">
        <v>15</v>
      </c>
      <c r="E7" t="s">
        <v>58</v>
      </c>
      <c r="F7" s="5">
        <v>17</v>
      </c>
      <c r="G7" t="str">
        <f>IF(Data[[#This Row],[Age]]&lt;25,"Under 25",IF(Data[[#This Row],[Age]]&lt;35,"25–34",IF(Data[[#This Row],[Age]]&lt;45,"35–44",IF(Data[[#This Row],[Age]]&lt;55,"45–54","55+"))))</f>
        <v>Under 25</v>
      </c>
      <c r="H7" t="s">
        <v>59</v>
      </c>
      <c r="I7" t="s">
        <v>56</v>
      </c>
      <c r="J7" t="s">
        <v>35</v>
      </c>
      <c r="K7" s="1">
        <v>41213</v>
      </c>
      <c r="M7" s="1" t="str">
        <f>IF(ISBLANK(Data[[#This Row],[EndDate]]),"Active","InActive")</f>
        <v>Active</v>
      </c>
      <c r="N7" t="s">
        <v>57</v>
      </c>
      <c r="O7" t="s">
        <v>21</v>
      </c>
      <c r="P7" t="s">
        <v>32</v>
      </c>
      <c r="Q7" s="2">
        <v>2890</v>
      </c>
    </row>
    <row r="8" spans="1:17" x14ac:dyDescent="0.2">
      <c r="A8" s="1">
        <v>43435</v>
      </c>
      <c r="B8">
        <v>49356</v>
      </c>
      <c r="C8" t="s">
        <v>80</v>
      </c>
      <c r="D8" t="s">
        <v>41</v>
      </c>
      <c r="E8" t="s">
        <v>62</v>
      </c>
      <c r="F8" s="5">
        <v>17</v>
      </c>
      <c r="G8" t="str">
        <f>IF(Data[[#This Row],[Age]]&lt;25,"Under 25",IF(Data[[#This Row],[Age]]&lt;35,"25–34",IF(Data[[#This Row],[Age]]&lt;45,"35–44",IF(Data[[#This Row],[Age]]&lt;55,"45–54","55+"))))</f>
        <v>Under 25</v>
      </c>
      <c r="H8" t="s">
        <v>46</v>
      </c>
      <c r="I8" t="s">
        <v>56</v>
      </c>
      <c r="J8" t="s">
        <v>26</v>
      </c>
      <c r="K8" s="1">
        <v>41789</v>
      </c>
      <c r="M8" s="1" t="str">
        <f>IF(ISBLANK(Data[[#This Row],[EndDate]]),"Active","InActive")</f>
        <v>Active</v>
      </c>
      <c r="N8" t="s">
        <v>57</v>
      </c>
      <c r="O8" t="s">
        <v>21</v>
      </c>
      <c r="P8" t="s">
        <v>40</v>
      </c>
      <c r="Q8" s="2">
        <v>4717.5</v>
      </c>
    </row>
    <row r="9" spans="1:17" x14ac:dyDescent="0.2">
      <c r="A9" s="1">
        <v>43435</v>
      </c>
      <c r="B9">
        <v>55080</v>
      </c>
      <c r="C9" t="s">
        <v>80</v>
      </c>
      <c r="D9" t="s">
        <v>50</v>
      </c>
      <c r="E9" t="s">
        <v>63</v>
      </c>
      <c r="F9" s="5">
        <v>17</v>
      </c>
      <c r="G9" t="str">
        <f>IF(Data[[#This Row],[Age]]&lt;25,"Under 25",IF(Data[[#This Row],[Age]]&lt;35,"25–34",IF(Data[[#This Row],[Age]]&lt;45,"35–44",IF(Data[[#This Row],[Age]]&lt;55,"45–54","55+"))))</f>
        <v>Under 25</v>
      </c>
      <c r="H9" t="s">
        <v>17</v>
      </c>
      <c r="I9" t="s">
        <v>56</v>
      </c>
      <c r="J9" t="s">
        <v>26</v>
      </c>
      <c r="K9" s="1">
        <v>41913</v>
      </c>
      <c r="M9" s="1" t="str">
        <f>IF(ISBLANK(Data[[#This Row],[EndDate]]),"Active","InActive")</f>
        <v>Active</v>
      </c>
      <c r="N9" t="s">
        <v>57</v>
      </c>
      <c r="O9" t="s">
        <v>21</v>
      </c>
      <c r="P9" t="s">
        <v>40</v>
      </c>
      <c r="Q9" s="2">
        <v>3842</v>
      </c>
    </row>
    <row r="10" spans="1:17" x14ac:dyDescent="0.2">
      <c r="A10" s="1">
        <v>43070</v>
      </c>
      <c r="B10">
        <v>43414</v>
      </c>
      <c r="C10" t="s">
        <v>79</v>
      </c>
      <c r="D10" t="s">
        <v>29</v>
      </c>
      <c r="E10" t="s">
        <v>30</v>
      </c>
      <c r="F10" s="5">
        <v>18</v>
      </c>
      <c r="G10" t="str">
        <f>IF(Data[[#This Row],[Age]]&lt;25,"Under 25",IF(Data[[#This Row],[Age]]&lt;35,"25–34",IF(Data[[#This Row],[Age]]&lt;45,"35–44",IF(Data[[#This Row],[Age]]&lt;55,"45–54","55+"))))</f>
        <v>Under 25</v>
      </c>
      <c r="H10" t="s">
        <v>34</v>
      </c>
      <c r="I10" t="s">
        <v>56</v>
      </c>
      <c r="J10" t="s">
        <v>37</v>
      </c>
      <c r="K10" s="1">
        <v>41543</v>
      </c>
      <c r="M10" s="1" t="str">
        <f>IF(ISBLANK(Data[[#This Row],[EndDate]]),"Active","InActive")</f>
        <v>Active</v>
      </c>
      <c r="N10" t="s">
        <v>57</v>
      </c>
      <c r="O10" t="s">
        <v>21</v>
      </c>
      <c r="P10" t="s">
        <v>32</v>
      </c>
      <c r="Q10" s="2">
        <v>6975</v>
      </c>
    </row>
    <row r="11" spans="1:17" x14ac:dyDescent="0.2">
      <c r="A11" s="1">
        <v>42705</v>
      </c>
      <c r="B11">
        <v>52770</v>
      </c>
      <c r="C11" t="s">
        <v>79</v>
      </c>
      <c r="D11" t="s">
        <v>47</v>
      </c>
      <c r="E11" t="s">
        <v>64</v>
      </c>
      <c r="F11" s="5">
        <v>18</v>
      </c>
      <c r="G11" t="str">
        <f>IF(Data[[#This Row],[Age]]&lt;25,"Under 25",IF(Data[[#This Row],[Age]]&lt;35,"25–34",IF(Data[[#This Row],[Age]]&lt;45,"35–44",IF(Data[[#This Row],[Age]]&lt;55,"45–54","55+"))))</f>
        <v>Under 25</v>
      </c>
      <c r="H11" t="s">
        <v>34</v>
      </c>
      <c r="I11" t="s">
        <v>56</v>
      </c>
      <c r="J11" t="s">
        <v>37</v>
      </c>
      <c r="K11" s="1">
        <v>41102</v>
      </c>
      <c r="M11" s="1" t="str">
        <f>IF(ISBLANK(Data[[#This Row],[EndDate]]),"Active","InActive")</f>
        <v>Active</v>
      </c>
      <c r="N11" t="s">
        <v>57</v>
      </c>
      <c r="O11" t="s">
        <v>21</v>
      </c>
      <c r="P11" t="s">
        <v>22</v>
      </c>
      <c r="Q11" s="2">
        <v>6138</v>
      </c>
    </row>
    <row r="12" spans="1:17" x14ac:dyDescent="0.2">
      <c r="A12" s="1">
        <v>43070</v>
      </c>
      <c r="B12">
        <v>32034</v>
      </c>
      <c r="C12" t="s">
        <v>79</v>
      </c>
      <c r="D12" t="s">
        <v>29</v>
      </c>
      <c r="E12" t="s">
        <v>30</v>
      </c>
      <c r="F12" s="5">
        <v>18</v>
      </c>
      <c r="G12" t="str">
        <f>IF(Data[[#This Row],[Age]]&lt;25,"Under 25",IF(Data[[#This Row],[Age]]&lt;35,"25–34",IF(Data[[#This Row],[Age]]&lt;45,"35–44",IF(Data[[#This Row],[Age]]&lt;55,"45–54","55+"))))</f>
        <v>Under 25</v>
      </c>
      <c r="H12" t="s">
        <v>34</v>
      </c>
      <c r="I12" t="s">
        <v>56</v>
      </c>
      <c r="J12" t="s">
        <v>37</v>
      </c>
      <c r="K12" s="1">
        <v>41583</v>
      </c>
      <c r="M12" s="1" t="str">
        <f>IF(ISBLANK(Data[[#This Row],[EndDate]]),"Active","InActive")</f>
        <v>Active</v>
      </c>
      <c r="N12" t="s">
        <v>57</v>
      </c>
      <c r="O12" t="s">
        <v>21</v>
      </c>
      <c r="P12" t="s">
        <v>32</v>
      </c>
      <c r="Q12" s="2">
        <v>3375</v>
      </c>
    </row>
    <row r="13" spans="1:17" x14ac:dyDescent="0.2">
      <c r="A13" s="1">
        <v>43070</v>
      </c>
      <c r="B13">
        <v>97528</v>
      </c>
      <c r="C13" t="s">
        <v>79</v>
      </c>
      <c r="D13" t="s">
        <v>23</v>
      </c>
      <c r="E13" t="s">
        <v>65</v>
      </c>
      <c r="F13" s="5">
        <v>18</v>
      </c>
      <c r="G13" t="str">
        <f>IF(Data[[#This Row],[Age]]&lt;25,"Under 25",IF(Data[[#This Row],[Age]]&lt;35,"25–34",IF(Data[[#This Row],[Age]]&lt;45,"35–44",IF(Data[[#This Row],[Age]]&lt;55,"45–54","55+"))))</f>
        <v>Under 25</v>
      </c>
      <c r="H13" t="s">
        <v>46</v>
      </c>
      <c r="I13" t="s">
        <v>56</v>
      </c>
      <c r="J13" t="s">
        <v>19</v>
      </c>
      <c r="K13" s="1">
        <v>41576</v>
      </c>
      <c r="M13" s="1" t="str">
        <f>IF(ISBLANK(Data[[#This Row],[EndDate]]),"Active","InActive")</f>
        <v>Active</v>
      </c>
      <c r="N13" t="s">
        <v>57</v>
      </c>
      <c r="O13" t="s">
        <v>21</v>
      </c>
      <c r="P13" t="s">
        <v>32</v>
      </c>
      <c r="Q13" s="2">
        <v>5868</v>
      </c>
    </row>
    <row r="14" spans="1:17" x14ac:dyDescent="0.2">
      <c r="A14" s="1">
        <v>43435</v>
      </c>
      <c r="B14">
        <v>96374</v>
      </c>
      <c r="C14" t="s">
        <v>79</v>
      </c>
      <c r="D14" t="s">
        <v>41</v>
      </c>
      <c r="E14" t="s">
        <v>62</v>
      </c>
      <c r="F14" s="5">
        <v>18</v>
      </c>
      <c r="G14" t="str">
        <f>IF(Data[[#This Row],[Age]]&lt;25,"Under 25",IF(Data[[#This Row],[Age]]&lt;35,"25–34",IF(Data[[#This Row],[Age]]&lt;45,"35–44",IF(Data[[#This Row],[Age]]&lt;55,"45–54","55+"))))</f>
        <v>Under 25</v>
      </c>
      <c r="H14" t="s">
        <v>34</v>
      </c>
      <c r="I14" t="s">
        <v>56</v>
      </c>
      <c r="J14" t="s">
        <v>19</v>
      </c>
      <c r="K14" s="1">
        <v>41842</v>
      </c>
      <c r="M14" s="1" t="str">
        <f>IF(ISBLANK(Data[[#This Row],[EndDate]]),"Active","InActive")</f>
        <v>Active</v>
      </c>
      <c r="N14" t="s">
        <v>57</v>
      </c>
      <c r="O14" t="s">
        <v>21</v>
      </c>
      <c r="P14" t="s">
        <v>40</v>
      </c>
      <c r="Q14" s="2">
        <v>4068</v>
      </c>
    </row>
    <row r="15" spans="1:17" x14ac:dyDescent="0.2">
      <c r="A15" s="1">
        <v>42705</v>
      </c>
      <c r="B15">
        <v>101068</v>
      </c>
      <c r="C15" t="s">
        <v>80</v>
      </c>
      <c r="D15" t="s">
        <v>23</v>
      </c>
      <c r="E15" t="s">
        <v>24</v>
      </c>
      <c r="F15" s="5">
        <v>18</v>
      </c>
      <c r="G15" t="str">
        <f>IF(Data[[#This Row],[Age]]&lt;25,"Under 25",IF(Data[[#This Row],[Age]]&lt;35,"25–34",IF(Data[[#This Row],[Age]]&lt;45,"35–44",IF(Data[[#This Row],[Age]]&lt;55,"45–54","55+"))))</f>
        <v>Under 25</v>
      </c>
      <c r="H15" t="s">
        <v>59</v>
      </c>
      <c r="I15" t="s">
        <v>56</v>
      </c>
      <c r="J15" t="s">
        <v>37</v>
      </c>
      <c r="K15" s="1">
        <v>40982</v>
      </c>
      <c r="M15" s="1" t="str">
        <f>IF(ISBLANK(Data[[#This Row],[EndDate]]),"Active","InActive")</f>
        <v>Active</v>
      </c>
      <c r="N15" t="s">
        <v>57</v>
      </c>
      <c r="O15" t="s">
        <v>21</v>
      </c>
      <c r="P15" t="s">
        <v>22</v>
      </c>
      <c r="Q15" s="2">
        <v>2466</v>
      </c>
    </row>
    <row r="16" spans="1:17" x14ac:dyDescent="0.2">
      <c r="A16" s="1">
        <v>42705</v>
      </c>
      <c r="B16">
        <v>105240</v>
      </c>
      <c r="C16" t="s">
        <v>80</v>
      </c>
      <c r="D16" t="s">
        <v>23</v>
      </c>
      <c r="E16" t="s">
        <v>24</v>
      </c>
      <c r="F16" s="5">
        <v>18</v>
      </c>
      <c r="G16" t="str">
        <f>IF(Data[[#This Row],[Age]]&lt;25,"Under 25",IF(Data[[#This Row],[Age]]&lt;35,"25–34",IF(Data[[#This Row],[Age]]&lt;45,"35–44",IF(Data[[#This Row],[Age]]&lt;55,"45–54","55+"))))</f>
        <v>Under 25</v>
      </c>
      <c r="H16" t="s">
        <v>34</v>
      </c>
      <c r="I16" t="s">
        <v>56</v>
      </c>
      <c r="J16" t="s">
        <v>26</v>
      </c>
      <c r="K16" s="1">
        <v>41227</v>
      </c>
      <c r="M16" s="1" t="str">
        <f>IF(ISBLANK(Data[[#This Row],[EndDate]]),"Active","InActive")</f>
        <v>Active</v>
      </c>
      <c r="N16" t="s">
        <v>57</v>
      </c>
      <c r="O16" t="s">
        <v>21</v>
      </c>
      <c r="P16" t="s">
        <v>22</v>
      </c>
      <c r="Q16" s="2">
        <v>3051</v>
      </c>
    </row>
    <row r="17" spans="1:17" x14ac:dyDescent="0.2">
      <c r="A17" s="1">
        <v>42705</v>
      </c>
      <c r="B17">
        <v>108256</v>
      </c>
      <c r="C17" t="s">
        <v>80</v>
      </c>
      <c r="D17" t="s">
        <v>23</v>
      </c>
      <c r="E17" t="s">
        <v>24</v>
      </c>
      <c r="F17" s="5">
        <v>18</v>
      </c>
      <c r="G17" t="str">
        <f>IF(Data[[#This Row],[Age]]&lt;25,"Under 25",IF(Data[[#This Row],[Age]]&lt;35,"25–34",IF(Data[[#This Row],[Age]]&lt;45,"35–44",IF(Data[[#This Row],[Age]]&lt;55,"45–54","55+"))))</f>
        <v>Under 25</v>
      </c>
      <c r="H17" t="s">
        <v>46</v>
      </c>
      <c r="I17" t="s">
        <v>56</v>
      </c>
      <c r="J17" t="s">
        <v>37</v>
      </c>
      <c r="K17" s="1">
        <v>41179</v>
      </c>
      <c r="M17" s="1" t="str">
        <f>IF(ISBLANK(Data[[#This Row],[EndDate]]),"Active","InActive")</f>
        <v>Active</v>
      </c>
      <c r="N17" t="s">
        <v>57</v>
      </c>
      <c r="O17" t="s">
        <v>21</v>
      </c>
      <c r="P17" t="s">
        <v>22</v>
      </c>
      <c r="Q17" s="2">
        <v>4077</v>
      </c>
    </row>
    <row r="18" spans="1:17" x14ac:dyDescent="0.2">
      <c r="A18" s="1">
        <v>42705</v>
      </c>
      <c r="B18">
        <v>109168</v>
      </c>
      <c r="C18" t="s">
        <v>80</v>
      </c>
      <c r="D18" t="s">
        <v>43</v>
      </c>
      <c r="E18" t="s">
        <v>60</v>
      </c>
      <c r="F18" s="5">
        <v>18</v>
      </c>
      <c r="G18" t="str">
        <f>IF(Data[[#This Row],[Age]]&lt;25,"Under 25",IF(Data[[#This Row],[Age]]&lt;35,"25–34",IF(Data[[#This Row],[Age]]&lt;45,"35–44",IF(Data[[#This Row],[Age]]&lt;55,"45–54","55+"))))</f>
        <v>Under 25</v>
      </c>
      <c r="H18" t="s">
        <v>34</v>
      </c>
      <c r="I18" t="s">
        <v>56</v>
      </c>
      <c r="J18" t="s">
        <v>37</v>
      </c>
      <c r="K18" s="1">
        <v>41185</v>
      </c>
      <c r="M18" s="1" t="str">
        <f>IF(ISBLANK(Data[[#This Row],[EndDate]]),"Active","InActive")</f>
        <v>Active</v>
      </c>
      <c r="N18" t="s">
        <v>57</v>
      </c>
      <c r="O18" t="s">
        <v>21</v>
      </c>
      <c r="P18" t="s">
        <v>22</v>
      </c>
      <c r="Q18" s="2">
        <v>5823</v>
      </c>
    </row>
    <row r="19" spans="1:17" x14ac:dyDescent="0.2">
      <c r="A19" s="1">
        <v>43070</v>
      </c>
      <c r="B19">
        <v>5238</v>
      </c>
      <c r="C19" t="s">
        <v>80</v>
      </c>
      <c r="D19" t="s">
        <v>43</v>
      </c>
      <c r="E19" t="s">
        <v>66</v>
      </c>
      <c r="F19" s="5">
        <v>18</v>
      </c>
      <c r="G19" t="str">
        <f>IF(Data[[#This Row],[Age]]&lt;25,"Under 25",IF(Data[[#This Row],[Age]]&lt;35,"25–34",IF(Data[[#This Row],[Age]]&lt;45,"35–44",IF(Data[[#This Row],[Age]]&lt;55,"45–54","55+"))))</f>
        <v>Under 25</v>
      </c>
      <c r="H19" t="s">
        <v>31</v>
      </c>
      <c r="I19" t="s">
        <v>56</v>
      </c>
      <c r="J19" t="s">
        <v>37</v>
      </c>
      <c r="K19" s="1">
        <v>41430</v>
      </c>
      <c r="M19" s="1" t="str">
        <f>IF(ISBLANK(Data[[#This Row],[EndDate]]),"Active","InActive")</f>
        <v>Active</v>
      </c>
      <c r="N19" t="s">
        <v>57</v>
      </c>
      <c r="O19" t="s">
        <v>21</v>
      </c>
      <c r="P19" t="s">
        <v>32</v>
      </c>
      <c r="Q19" s="2">
        <v>7533</v>
      </c>
    </row>
    <row r="20" spans="1:17" x14ac:dyDescent="0.2">
      <c r="A20" s="1">
        <v>43070</v>
      </c>
      <c r="B20">
        <v>14786</v>
      </c>
      <c r="C20" t="s">
        <v>80</v>
      </c>
      <c r="D20" t="s">
        <v>27</v>
      </c>
      <c r="E20" t="s">
        <v>28</v>
      </c>
      <c r="F20" s="5">
        <v>18</v>
      </c>
      <c r="G20" t="str">
        <f>IF(Data[[#This Row],[Age]]&lt;25,"Under 25",IF(Data[[#This Row],[Age]]&lt;35,"25–34",IF(Data[[#This Row],[Age]]&lt;45,"35–44",IF(Data[[#This Row],[Age]]&lt;55,"45–54","55+"))))</f>
        <v>Under 25</v>
      </c>
      <c r="H20" t="s">
        <v>46</v>
      </c>
      <c r="I20" t="s">
        <v>56</v>
      </c>
      <c r="J20" t="s">
        <v>19</v>
      </c>
      <c r="K20" s="1">
        <v>41562</v>
      </c>
      <c r="M20" s="1" t="str">
        <f>IF(ISBLANK(Data[[#This Row],[EndDate]]),"Active","InActive")</f>
        <v>Active</v>
      </c>
      <c r="N20" t="s">
        <v>57</v>
      </c>
      <c r="O20" t="s">
        <v>21</v>
      </c>
      <c r="P20" t="s">
        <v>32</v>
      </c>
      <c r="Q20" s="2">
        <v>2961</v>
      </c>
    </row>
    <row r="21" spans="1:17" x14ac:dyDescent="0.2">
      <c r="A21" s="1">
        <v>43070</v>
      </c>
      <c r="B21">
        <v>16080</v>
      </c>
      <c r="C21" t="s">
        <v>80</v>
      </c>
      <c r="D21" t="s">
        <v>47</v>
      </c>
      <c r="E21" t="s">
        <v>48</v>
      </c>
      <c r="F21" s="5">
        <v>18</v>
      </c>
      <c r="G21" t="str">
        <f>IF(Data[[#This Row],[Age]]&lt;25,"Under 25",IF(Data[[#This Row],[Age]]&lt;35,"25–34",IF(Data[[#This Row],[Age]]&lt;45,"35–44",IF(Data[[#This Row],[Age]]&lt;55,"45–54","55+"))))</f>
        <v>Under 25</v>
      </c>
      <c r="H21" t="s">
        <v>25</v>
      </c>
      <c r="I21" t="s">
        <v>56</v>
      </c>
      <c r="J21" t="s">
        <v>37</v>
      </c>
      <c r="K21" s="1">
        <v>41584</v>
      </c>
      <c r="L21" s="1">
        <v>41684</v>
      </c>
      <c r="M21" s="1" t="str">
        <f>IF(ISBLANK(Data[[#This Row],[EndDate]]),"Active","InActive")</f>
        <v>InActive</v>
      </c>
      <c r="N21" t="s">
        <v>57</v>
      </c>
      <c r="O21" t="s">
        <v>21</v>
      </c>
      <c r="P21" t="s">
        <v>32</v>
      </c>
      <c r="Q21" s="2">
        <v>1287</v>
      </c>
    </row>
    <row r="22" spans="1:17" x14ac:dyDescent="0.2">
      <c r="A22" s="1">
        <v>43070</v>
      </c>
      <c r="B22">
        <v>18026</v>
      </c>
      <c r="C22" t="s">
        <v>80</v>
      </c>
      <c r="D22" t="s">
        <v>50</v>
      </c>
      <c r="E22" t="s">
        <v>51</v>
      </c>
      <c r="F22" s="5">
        <v>18</v>
      </c>
      <c r="G22" t="str">
        <f>IF(Data[[#This Row],[Age]]&lt;25,"Under 25",IF(Data[[#This Row],[Age]]&lt;35,"25–34",IF(Data[[#This Row],[Age]]&lt;45,"35–44",IF(Data[[#This Row],[Age]]&lt;55,"45–54","55+"))))</f>
        <v>Under 25</v>
      </c>
      <c r="H22" t="s">
        <v>17</v>
      </c>
      <c r="I22" t="s">
        <v>56</v>
      </c>
      <c r="J22" t="s">
        <v>37</v>
      </c>
      <c r="K22" s="1">
        <v>41496</v>
      </c>
      <c r="M22" s="1" t="str">
        <f>IF(ISBLANK(Data[[#This Row],[EndDate]]),"Active","InActive")</f>
        <v>Active</v>
      </c>
      <c r="N22" t="s">
        <v>57</v>
      </c>
      <c r="O22" t="s">
        <v>21</v>
      </c>
      <c r="P22" t="s">
        <v>32</v>
      </c>
      <c r="Q22" s="2">
        <v>5103</v>
      </c>
    </row>
    <row r="23" spans="1:17" x14ac:dyDescent="0.2">
      <c r="A23" s="1">
        <v>43070</v>
      </c>
      <c r="B23">
        <v>19376</v>
      </c>
      <c r="C23" t="s">
        <v>80</v>
      </c>
      <c r="D23" t="s">
        <v>47</v>
      </c>
      <c r="E23" t="s">
        <v>48</v>
      </c>
      <c r="F23" s="5">
        <v>18</v>
      </c>
      <c r="G23" t="str">
        <f>IF(Data[[#This Row],[Age]]&lt;25,"Under 25",IF(Data[[#This Row],[Age]]&lt;35,"25–34",IF(Data[[#This Row],[Age]]&lt;45,"35–44",IF(Data[[#This Row],[Age]]&lt;55,"45–54","55+"))))</f>
        <v>Under 25</v>
      </c>
      <c r="H23" t="s">
        <v>59</v>
      </c>
      <c r="I23" t="s">
        <v>56</v>
      </c>
      <c r="J23" t="s">
        <v>35</v>
      </c>
      <c r="K23" s="1">
        <v>41550</v>
      </c>
      <c r="M23" s="1" t="str">
        <f>IF(ISBLANK(Data[[#This Row],[EndDate]]),"Active","InActive")</f>
        <v>Active</v>
      </c>
      <c r="N23" t="s">
        <v>57</v>
      </c>
      <c r="O23" t="s">
        <v>21</v>
      </c>
      <c r="P23" t="s">
        <v>32</v>
      </c>
      <c r="Q23" s="2">
        <v>8136</v>
      </c>
    </row>
    <row r="24" spans="1:17" x14ac:dyDescent="0.2">
      <c r="A24" s="1">
        <v>43070</v>
      </c>
      <c r="B24">
        <v>30868</v>
      </c>
      <c r="C24" t="s">
        <v>80</v>
      </c>
      <c r="D24" t="s">
        <v>43</v>
      </c>
      <c r="E24" t="s">
        <v>44</v>
      </c>
      <c r="F24" s="5">
        <v>18</v>
      </c>
      <c r="G24" t="str">
        <f>IF(Data[[#This Row],[Age]]&lt;25,"Under 25",IF(Data[[#This Row],[Age]]&lt;35,"25–34",IF(Data[[#This Row],[Age]]&lt;45,"35–44",IF(Data[[#This Row],[Age]]&lt;55,"45–54","55+"))))</f>
        <v>Under 25</v>
      </c>
      <c r="H24" t="s">
        <v>31</v>
      </c>
      <c r="I24" t="s">
        <v>56</v>
      </c>
      <c r="J24" t="s">
        <v>37</v>
      </c>
      <c r="K24" s="1">
        <v>41507</v>
      </c>
      <c r="M24" s="1" t="str">
        <f>IF(ISBLANK(Data[[#This Row],[EndDate]]),"Active","InActive")</f>
        <v>Active</v>
      </c>
      <c r="N24" t="s">
        <v>57</v>
      </c>
      <c r="O24" t="s">
        <v>21</v>
      </c>
      <c r="P24" t="s">
        <v>32</v>
      </c>
      <c r="Q24" s="2">
        <v>5535</v>
      </c>
    </row>
    <row r="25" spans="1:17" x14ac:dyDescent="0.2">
      <c r="A25" s="1">
        <v>43070</v>
      </c>
      <c r="B25">
        <v>43626</v>
      </c>
      <c r="C25" t="s">
        <v>80</v>
      </c>
      <c r="D25" t="s">
        <v>38</v>
      </c>
      <c r="E25" t="s">
        <v>45</v>
      </c>
      <c r="F25" s="5">
        <v>18</v>
      </c>
      <c r="G25" t="str">
        <f>IF(Data[[#This Row],[Age]]&lt;25,"Under 25",IF(Data[[#This Row],[Age]]&lt;35,"25–34",IF(Data[[#This Row],[Age]]&lt;45,"35–44",IF(Data[[#This Row],[Age]]&lt;55,"45–54","55+"))))</f>
        <v>Under 25</v>
      </c>
      <c r="H25" t="s">
        <v>25</v>
      </c>
      <c r="I25" t="s">
        <v>56</v>
      </c>
      <c r="J25" t="s">
        <v>37</v>
      </c>
      <c r="K25" s="1">
        <v>41607</v>
      </c>
      <c r="M25" s="1" t="str">
        <f>IF(ISBLANK(Data[[#This Row],[EndDate]]),"Active","InActive")</f>
        <v>Active</v>
      </c>
      <c r="N25" t="s">
        <v>57</v>
      </c>
      <c r="O25" t="s">
        <v>21</v>
      </c>
      <c r="P25" t="s">
        <v>32</v>
      </c>
      <c r="Q25" s="2">
        <v>5913</v>
      </c>
    </row>
    <row r="26" spans="1:17" x14ac:dyDescent="0.2">
      <c r="A26" s="1">
        <v>43070</v>
      </c>
      <c r="B26">
        <v>53952</v>
      </c>
      <c r="C26" t="s">
        <v>80</v>
      </c>
      <c r="D26" t="s">
        <v>52</v>
      </c>
      <c r="E26" t="s">
        <v>67</v>
      </c>
      <c r="F26" s="5">
        <v>18</v>
      </c>
      <c r="G26" t="str">
        <f>IF(Data[[#This Row],[Age]]&lt;25,"Under 25",IF(Data[[#This Row],[Age]]&lt;35,"25–34",IF(Data[[#This Row],[Age]]&lt;45,"35–44",IF(Data[[#This Row],[Age]]&lt;55,"45–54","55+"))))</f>
        <v>Under 25</v>
      </c>
      <c r="H26" t="s">
        <v>46</v>
      </c>
      <c r="I26" t="s">
        <v>56</v>
      </c>
      <c r="J26" t="s">
        <v>26</v>
      </c>
      <c r="K26" s="1">
        <v>41461</v>
      </c>
      <c r="M26" s="1" t="str">
        <f>IF(ISBLANK(Data[[#This Row],[EndDate]]),"Active","InActive")</f>
        <v>Active</v>
      </c>
      <c r="N26" t="s">
        <v>57</v>
      </c>
      <c r="O26" t="s">
        <v>21</v>
      </c>
      <c r="P26" t="s">
        <v>32</v>
      </c>
      <c r="Q26" s="2">
        <v>1656</v>
      </c>
    </row>
    <row r="27" spans="1:17" x14ac:dyDescent="0.2">
      <c r="A27" s="1">
        <v>43435</v>
      </c>
      <c r="B27">
        <v>43308</v>
      </c>
      <c r="C27" t="s">
        <v>80</v>
      </c>
      <c r="D27" t="s">
        <v>15</v>
      </c>
      <c r="E27" t="s">
        <v>58</v>
      </c>
      <c r="F27" s="5">
        <v>18</v>
      </c>
      <c r="G27" t="str">
        <f>IF(Data[[#This Row],[Age]]&lt;25,"Under 25",IF(Data[[#This Row],[Age]]&lt;35,"25–34",IF(Data[[#This Row],[Age]]&lt;45,"35–44",IF(Data[[#This Row],[Age]]&lt;55,"45–54","55+"))))</f>
        <v>Under 25</v>
      </c>
      <c r="H27" t="s">
        <v>59</v>
      </c>
      <c r="I27" t="s">
        <v>56</v>
      </c>
      <c r="J27" t="s">
        <v>35</v>
      </c>
      <c r="K27" s="1">
        <v>41213</v>
      </c>
      <c r="M27" s="1" t="str">
        <f>IF(ISBLANK(Data[[#This Row],[EndDate]]),"Active","InActive")</f>
        <v>Active</v>
      </c>
      <c r="N27" t="s">
        <v>57</v>
      </c>
      <c r="O27" t="s">
        <v>21</v>
      </c>
      <c r="P27" t="s">
        <v>40</v>
      </c>
      <c r="Q27" s="2">
        <v>2160</v>
      </c>
    </row>
    <row r="28" spans="1:17" x14ac:dyDescent="0.2">
      <c r="A28" s="1">
        <v>43435</v>
      </c>
      <c r="B28">
        <v>51036</v>
      </c>
      <c r="C28" t="s">
        <v>80</v>
      </c>
      <c r="D28" t="s">
        <v>43</v>
      </c>
      <c r="E28" t="s">
        <v>66</v>
      </c>
      <c r="F28" s="5">
        <v>18</v>
      </c>
      <c r="G28" t="str">
        <f>IF(Data[[#This Row],[Age]]&lt;25,"Under 25",IF(Data[[#This Row],[Age]]&lt;35,"25–34",IF(Data[[#This Row],[Age]]&lt;45,"35–44",IF(Data[[#This Row],[Age]]&lt;55,"45–54","55+"))))</f>
        <v>Under 25</v>
      </c>
      <c r="H28" t="s">
        <v>31</v>
      </c>
      <c r="I28" t="s">
        <v>56</v>
      </c>
      <c r="J28" t="s">
        <v>26</v>
      </c>
      <c r="K28" s="1">
        <v>41943</v>
      </c>
      <c r="M28" s="1" t="str">
        <f>IF(ISBLANK(Data[[#This Row],[EndDate]]),"Active","InActive")</f>
        <v>Active</v>
      </c>
      <c r="N28" t="s">
        <v>57</v>
      </c>
      <c r="O28" t="s">
        <v>21</v>
      </c>
      <c r="P28" t="s">
        <v>40</v>
      </c>
      <c r="Q28" s="2">
        <v>4761</v>
      </c>
    </row>
    <row r="29" spans="1:17" x14ac:dyDescent="0.2">
      <c r="A29" s="1">
        <v>43435</v>
      </c>
      <c r="B29">
        <v>55010</v>
      </c>
      <c r="C29" t="s">
        <v>80</v>
      </c>
      <c r="D29" t="s">
        <v>47</v>
      </c>
      <c r="E29" t="s">
        <v>48</v>
      </c>
      <c r="F29" s="5">
        <v>18</v>
      </c>
      <c r="G29" t="str">
        <f>IF(Data[[#This Row],[Age]]&lt;25,"Under 25",IF(Data[[#This Row],[Age]]&lt;35,"25–34",IF(Data[[#This Row],[Age]]&lt;45,"35–44",IF(Data[[#This Row],[Age]]&lt;55,"45–54","55+"))))</f>
        <v>Under 25</v>
      </c>
      <c r="H29" t="s">
        <v>46</v>
      </c>
      <c r="I29" t="s">
        <v>56</v>
      </c>
      <c r="J29" t="s">
        <v>35</v>
      </c>
      <c r="K29" s="1">
        <v>41892</v>
      </c>
      <c r="M29" s="1" t="str">
        <f>IF(ISBLANK(Data[[#This Row],[EndDate]]),"Active","InActive")</f>
        <v>Active</v>
      </c>
      <c r="N29" t="s">
        <v>57</v>
      </c>
      <c r="O29" t="s">
        <v>21</v>
      </c>
      <c r="P29" t="s">
        <v>40</v>
      </c>
      <c r="Q29" s="2">
        <v>2610</v>
      </c>
    </row>
    <row r="30" spans="1:17" x14ac:dyDescent="0.2">
      <c r="A30" s="1">
        <v>43435</v>
      </c>
      <c r="B30">
        <v>56444</v>
      </c>
      <c r="C30" t="s">
        <v>80</v>
      </c>
      <c r="D30" t="s">
        <v>29</v>
      </c>
      <c r="E30" t="s">
        <v>30</v>
      </c>
      <c r="F30" s="5">
        <v>18</v>
      </c>
      <c r="G30" t="str">
        <f>IF(Data[[#This Row],[Age]]&lt;25,"Under 25",IF(Data[[#This Row],[Age]]&lt;35,"25–34",IF(Data[[#This Row],[Age]]&lt;45,"35–44",IF(Data[[#This Row],[Age]]&lt;55,"45–54","55+"))))</f>
        <v>Under 25</v>
      </c>
      <c r="H30" t="s">
        <v>31</v>
      </c>
      <c r="I30" t="s">
        <v>56</v>
      </c>
      <c r="J30" t="s">
        <v>37</v>
      </c>
      <c r="K30" s="1">
        <v>41927</v>
      </c>
      <c r="M30" s="1" t="str">
        <f>IF(ISBLANK(Data[[#This Row],[EndDate]]),"Active","InActive")</f>
        <v>Active</v>
      </c>
      <c r="N30" t="s">
        <v>57</v>
      </c>
      <c r="O30" t="s">
        <v>21</v>
      </c>
      <c r="P30" t="s">
        <v>40</v>
      </c>
      <c r="Q30" s="2">
        <v>4410</v>
      </c>
    </row>
    <row r="31" spans="1:17" x14ac:dyDescent="0.2">
      <c r="A31" s="1">
        <v>43435</v>
      </c>
      <c r="B31">
        <v>96376</v>
      </c>
      <c r="C31" t="s">
        <v>80</v>
      </c>
      <c r="D31" t="s">
        <v>29</v>
      </c>
      <c r="E31" t="s">
        <v>30</v>
      </c>
      <c r="F31" s="5">
        <v>18</v>
      </c>
      <c r="G31" t="str">
        <f>IF(Data[[#This Row],[Age]]&lt;25,"Under 25",IF(Data[[#This Row],[Age]]&lt;35,"25–34",IF(Data[[#This Row],[Age]]&lt;45,"35–44",IF(Data[[#This Row],[Age]]&lt;55,"45–54","55+"))))</f>
        <v>Under 25</v>
      </c>
      <c r="H31" t="s">
        <v>17</v>
      </c>
      <c r="I31" t="s">
        <v>56</v>
      </c>
      <c r="J31" t="s">
        <v>19</v>
      </c>
      <c r="K31" s="1">
        <v>41919</v>
      </c>
      <c r="L31" s="1">
        <v>42039</v>
      </c>
      <c r="M31" s="1" t="str">
        <f>IF(ISBLANK(Data[[#This Row],[EndDate]]),"Active","InActive")</f>
        <v>InActive</v>
      </c>
      <c r="N31" t="s">
        <v>57</v>
      </c>
      <c r="O31" t="s">
        <v>21</v>
      </c>
      <c r="P31" t="s">
        <v>40</v>
      </c>
      <c r="Q31" s="2">
        <v>7506</v>
      </c>
    </row>
    <row r="32" spans="1:17" x14ac:dyDescent="0.2">
      <c r="A32" s="1">
        <v>42705</v>
      </c>
      <c r="B32">
        <v>99194</v>
      </c>
      <c r="C32" t="s">
        <v>79</v>
      </c>
      <c r="D32" t="s">
        <v>38</v>
      </c>
      <c r="E32" t="s">
        <v>39</v>
      </c>
      <c r="F32" s="5">
        <v>18</v>
      </c>
      <c r="G32" t="str">
        <f>IF(Data[[#This Row],[Age]]&lt;25,"Under 25",IF(Data[[#This Row],[Age]]&lt;35,"25–34",IF(Data[[#This Row],[Age]]&lt;45,"35–44",IF(Data[[#This Row],[Age]]&lt;55,"45–54","55+"))))</f>
        <v>Under 25</v>
      </c>
      <c r="H32" t="s">
        <v>46</v>
      </c>
      <c r="I32" t="s">
        <v>18</v>
      </c>
      <c r="J32" t="s">
        <v>35</v>
      </c>
      <c r="K32" s="1">
        <v>41242</v>
      </c>
      <c r="M32" s="1" t="str">
        <f>IF(ISBLANK(Data[[#This Row],[EndDate]]),"Active","InActive")</f>
        <v>Active</v>
      </c>
      <c r="N32" t="s">
        <v>20</v>
      </c>
      <c r="O32" t="s">
        <v>21</v>
      </c>
      <c r="P32" t="s">
        <v>22</v>
      </c>
      <c r="Q32" s="2">
        <v>1854</v>
      </c>
    </row>
    <row r="33" spans="1:17" x14ac:dyDescent="0.2">
      <c r="A33" s="1">
        <v>42705</v>
      </c>
      <c r="B33">
        <v>99302</v>
      </c>
      <c r="C33" t="s">
        <v>80</v>
      </c>
      <c r="D33" t="s">
        <v>27</v>
      </c>
      <c r="E33" t="s">
        <v>72</v>
      </c>
      <c r="F33" s="5">
        <v>18</v>
      </c>
      <c r="G33" t="str">
        <f>IF(Data[[#This Row],[Age]]&lt;25,"Under 25",IF(Data[[#This Row],[Age]]&lt;35,"25–34",IF(Data[[#This Row],[Age]]&lt;45,"35–44",IF(Data[[#This Row],[Age]]&lt;55,"45–54","55+"))))</f>
        <v>Under 25</v>
      </c>
      <c r="H33" t="s">
        <v>59</v>
      </c>
      <c r="I33" t="s">
        <v>18</v>
      </c>
      <c r="J33" t="s">
        <v>37</v>
      </c>
      <c r="K33" s="1">
        <v>41203</v>
      </c>
      <c r="M33" s="1" t="str">
        <f>IF(ISBLANK(Data[[#This Row],[EndDate]]),"Active","InActive")</f>
        <v>Active</v>
      </c>
      <c r="N33" t="s">
        <v>20</v>
      </c>
      <c r="O33" t="s">
        <v>21</v>
      </c>
      <c r="P33" t="s">
        <v>22</v>
      </c>
      <c r="Q33" s="2">
        <v>8010</v>
      </c>
    </row>
    <row r="34" spans="1:17" x14ac:dyDescent="0.2">
      <c r="A34" s="1">
        <v>43070</v>
      </c>
      <c r="B34">
        <v>196</v>
      </c>
      <c r="C34" t="s">
        <v>79</v>
      </c>
      <c r="D34" t="s">
        <v>27</v>
      </c>
      <c r="E34" t="s">
        <v>72</v>
      </c>
      <c r="F34" s="5">
        <v>18</v>
      </c>
      <c r="G34" t="str">
        <f>IF(Data[[#This Row],[Age]]&lt;25,"Under 25",IF(Data[[#This Row],[Age]]&lt;35,"25–34",IF(Data[[#This Row],[Age]]&lt;45,"35–44",IF(Data[[#This Row],[Age]]&lt;55,"45–54","55+"))))</f>
        <v>Under 25</v>
      </c>
      <c r="H34" t="s">
        <v>46</v>
      </c>
      <c r="I34" t="s">
        <v>18</v>
      </c>
      <c r="J34" t="s">
        <v>37</v>
      </c>
      <c r="K34" s="1">
        <v>41606</v>
      </c>
      <c r="M34" s="1" t="str">
        <f>IF(ISBLANK(Data[[#This Row],[EndDate]]),"Active","InActive")</f>
        <v>Active</v>
      </c>
      <c r="N34" t="s">
        <v>20</v>
      </c>
      <c r="O34" t="s">
        <v>21</v>
      </c>
      <c r="P34" t="s">
        <v>32</v>
      </c>
      <c r="Q34" s="2">
        <v>7353</v>
      </c>
    </row>
    <row r="35" spans="1:17" x14ac:dyDescent="0.2">
      <c r="A35" s="1">
        <v>43070</v>
      </c>
      <c r="B35">
        <v>9352</v>
      </c>
      <c r="C35" t="s">
        <v>80</v>
      </c>
      <c r="D35" t="s">
        <v>23</v>
      </c>
      <c r="E35" t="s">
        <v>71</v>
      </c>
      <c r="F35" s="5">
        <v>18</v>
      </c>
      <c r="G35" t="str">
        <f>IF(Data[[#This Row],[Age]]&lt;25,"Under 25",IF(Data[[#This Row],[Age]]&lt;35,"25–34",IF(Data[[#This Row],[Age]]&lt;45,"35–44",IF(Data[[#This Row],[Age]]&lt;55,"45–54","55+"))))</f>
        <v>Under 25</v>
      </c>
      <c r="H35" t="s">
        <v>34</v>
      </c>
      <c r="I35" t="s">
        <v>18</v>
      </c>
      <c r="J35" t="s">
        <v>37</v>
      </c>
      <c r="K35" s="1">
        <v>41607</v>
      </c>
      <c r="L35" s="1">
        <v>41707</v>
      </c>
      <c r="M35" s="1" t="str">
        <f>IF(ISBLANK(Data[[#This Row],[EndDate]]),"Active","InActive")</f>
        <v>InActive</v>
      </c>
      <c r="N35" t="s">
        <v>20</v>
      </c>
      <c r="O35" t="s">
        <v>21</v>
      </c>
      <c r="P35" t="s">
        <v>32</v>
      </c>
      <c r="Q35" s="2">
        <v>1773</v>
      </c>
    </row>
    <row r="36" spans="1:17" x14ac:dyDescent="0.2">
      <c r="A36" s="1">
        <v>43070</v>
      </c>
      <c r="B36">
        <v>11152</v>
      </c>
      <c r="C36" t="s">
        <v>79</v>
      </c>
      <c r="D36" t="s">
        <v>29</v>
      </c>
      <c r="E36" t="s">
        <v>36</v>
      </c>
      <c r="F36" s="5">
        <v>18</v>
      </c>
      <c r="G36" t="str">
        <f>IF(Data[[#This Row],[Age]]&lt;25,"Under 25",IF(Data[[#This Row],[Age]]&lt;35,"25–34",IF(Data[[#This Row],[Age]]&lt;45,"35–44",IF(Data[[#This Row],[Age]]&lt;55,"45–54","55+"))))</f>
        <v>Under 25</v>
      </c>
      <c r="H36" t="s">
        <v>17</v>
      </c>
      <c r="I36" t="s">
        <v>18</v>
      </c>
      <c r="J36" t="s">
        <v>35</v>
      </c>
      <c r="K36" s="1">
        <v>41605</v>
      </c>
      <c r="M36" s="1" t="str">
        <f>IF(ISBLANK(Data[[#This Row],[EndDate]]),"Active","InActive")</f>
        <v>Active</v>
      </c>
      <c r="N36" t="s">
        <v>20</v>
      </c>
      <c r="O36" t="s">
        <v>21</v>
      </c>
      <c r="P36" t="s">
        <v>32</v>
      </c>
      <c r="Q36" s="2">
        <v>2340</v>
      </c>
    </row>
    <row r="37" spans="1:17" x14ac:dyDescent="0.2">
      <c r="A37" s="1">
        <v>43070</v>
      </c>
      <c r="B37">
        <v>11834</v>
      </c>
      <c r="C37" t="s">
        <v>80</v>
      </c>
      <c r="D37" t="s">
        <v>50</v>
      </c>
      <c r="E37" t="s">
        <v>51</v>
      </c>
      <c r="F37" s="5">
        <v>18</v>
      </c>
      <c r="G37" t="str">
        <f>IF(Data[[#This Row],[Age]]&lt;25,"Under 25",IF(Data[[#This Row],[Age]]&lt;35,"25–34",IF(Data[[#This Row],[Age]]&lt;45,"35–44",IF(Data[[#This Row],[Age]]&lt;55,"45–54","55+"))))</f>
        <v>Under 25</v>
      </c>
      <c r="H37" t="s">
        <v>31</v>
      </c>
      <c r="I37" t="s">
        <v>18</v>
      </c>
      <c r="J37" t="s">
        <v>35</v>
      </c>
      <c r="K37" s="1">
        <v>41605</v>
      </c>
      <c r="M37" s="1" t="str">
        <f>IF(ISBLANK(Data[[#This Row],[EndDate]]),"Active","InActive")</f>
        <v>Active</v>
      </c>
      <c r="N37" t="s">
        <v>20</v>
      </c>
      <c r="O37" t="s">
        <v>21</v>
      </c>
      <c r="P37" t="s">
        <v>32</v>
      </c>
      <c r="Q37" s="2">
        <v>7074</v>
      </c>
    </row>
    <row r="38" spans="1:17" x14ac:dyDescent="0.2">
      <c r="A38" s="1">
        <v>43070</v>
      </c>
      <c r="B38">
        <v>12414</v>
      </c>
      <c r="C38" t="s">
        <v>79</v>
      </c>
      <c r="D38" t="s">
        <v>15</v>
      </c>
      <c r="E38" t="s">
        <v>16</v>
      </c>
      <c r="F38" s="5">
        <v>18</v>
      </c>
      <c r="G38" t="str">
        <f>IF(Data[[#This Row],[Age]]&lt;25,"Under 25",IF(Data[[#This Row],[Age]]&lt;35,"25–34",IF(Data[[#This Row],[Age]]&lt;45,"35–44",IF(Data[[#This Row],[Age]]&lt;55,"45–54","55+"))))</f>
        <v>Under 25</v>
      </c>
      <c r="H38" t="s">
        <v>25</v>
      </c>
      <c r="I38" t="s">
        <v>18</v>
      </c>
      <c r="J38" t="s">
        <v>35</v>
      </c>
      <c r="K38" s="1">
        <v>41605</v>
      </c>
      <c r="M38" s="1" t="str">
        <f>IF(ISBLANK(Data[[#This Row],[EndDate]]),"Active","InActive")</f>
        <v>Active</v>
      </c>
      <c r="N38" t="s">
        <v>20</v>
      </c>
      <c r="O38" t="s">
        <v>21</v>
      </c>
      <c r="P38" t="s">
        <v>32</v>
      </c>
      <c r="Q38" s="2">
        <v>1890</v>
      </c>
    </row>
    <row r="39" spans="1:17" x14ac:dyDescent="0.2">
      <c r="A39" s="1">
        <v>43070</v>
      </c>
      <c r="B39">
        <v>13646</v>
      </c>
      <c r="C39" t="s">
        <v>79</v>
      </c>
      <c r="D39" t="s">
        <v>50</v>
      </c>
      <c r="E39" t="s">
        <v>63</v>
      </c>
      <c r="F39" s="5">
        <v>18</v>
      </c>
      <c r="G39" t="str">
        <f>IF(Data[[#This Row],[Age]]&lt;25,"Under 25",IF(Data[[#This Row],[Age]]&lt;35,"25–34",IF(Data[[#This Row],[Age]]&lt;45,"35–44",IF(Data[[#This Row],[Age]]&lt;55,"45–54","55+"))))</f>
        <v>Under 25</v>
      </c>
      <c r="H39" t="s">
        <v>34</v>
      </c>
      <c r="I39" t="s">
        <v>18</v>
      </c>
      <c r="J39" t="s">
        <v>37</v>
      </c>
      <c r="K39" s="1">
        <v>41605</v>
      </c>
      <c r="M39" s="1" t="str">
        <f>IF(ISBLANK(Data[[#This Row],[EndDate]]),"Active","InActive")</f>
        <v>Active</v>
      </c>
      <c r="N39" t="s">
        <v>20</v>
      </c>
      <c r="O39" t="s">
        <v>21</v>
      </c>
      <c r="P39" t="s">
        <v>32</v>
      </c>
      <c r="Q39" s="2">
        <v>8469</v>
      </c>
    </row>
    <row r="40" spans="1:17" x14ac:dyDescent="0.2">
      <c r="A40" s="1">
        <v>43070</v>
      </c>
      <c r="B40">
        <v>21476</v>
      </c>
      <c r="C40" t="s">
        <v>80</v>
      </c>
      <c r="D40" t="s">
        <v>29</v>
      </c>
      <c r="E40" t="s">
        <v>33</v>
      </c>
      <c r="F40" s="5">
        <v>18</v>
      </c>
      <c r="G40" t="str">
        <f>IF(Data[[#This Row],[Age]]&lt;25,"Under 25",IF(Data[[#This Row],[Age]]&lt;35,"25–34",IF(Data[[#This Row],[Age]]&lt;45,"35–44",IF(Data[[#This Row],[Age]]&lt;55,"45–54","55+"))))</f>
        <v>Under 25</v>
      </c>
      <c r="H40" t="s">
        <v>46</v>
      </c>
      <c r="I40" t="s">
        <v>18</v>
      </c>
      <c r="J40" t="s">
        <v>37</v>
      </c>
      <c r="K40" s="1">
        <v>41578</v>
      </c>
      <c r="M40" s="1" t="str">
        <f>IF(ISBLANK(Data[[#This Row],[EndDate]]),"Active","InActive")</f>
        <v>Active</v>
      </c>
      <c r="N40" t="s">
        <v>20</v>
      </c>
      <c r="O40" t="s">
        <v>21</v>
      </c>
      <c r="P40" t="s">
        <v>32</v>
      </c>
      <c r="Q40" s="2">
        <v>5355</v>
      </c>
    </row>
    <row r="41" spans="1:17" x14ac:dyDescent="0.2">
      <c r="A41" s="1">
        <v>43070</v>
      </c>
      <c r="B41">
        <v>32136</v>
      </c>
      <c r="C41" t="s">
        <v>79</v>
      </c>
      <c r="D41" t="s">
        <v>41</v>
      </c>
      <c r="E41" t="s">
        <v>62</v>
      </c>
      <c r="F41" s="5">
        <v>18</v>
      </c>
      <c r="G41" t="str">
        <f>IF(Data[[#This Row],[Age]]&lt;25,"Under 25",IF(Data[[#This Row],[Age]]&lt;35,"25–34",IF(Data[[#This Row],[Age]]&lt;45,"35–44",IF(Data[[#This Row],[Age]]&lt;55,"45–54","55+"))))</f>
        <v>Under 25</v>
      </c>
      <c r="H41" t="s">
        <v>46</v>
      </c>
      <c r="I41" t="s">
        <v>18</v>
      </c>
      <c r="J41" t="s">
        <v>37</v>
      </c>
      <c r="K41" s="1">
        <v>41635</v>
      </c>
      <c r="M41" s="1" t="str">
        <f>IF(ISBLANK(Data[[#This Row],[EndDate]]),"Active","InActive")</f>
        <v>Active</v>
      </c>
      <c r="N41" t="s">
        <v>20</v>
      </c>
      <c r="O41" t="s">
        <v>21</v>
      </c>
      <c r="P41" t="s">
        <v>32</v>
      </c>
      <c r="Q41" s="2">
        <v>7245</v>
      </c>
    </row>
    <row r="42" spans="1:17" x14ac:dyDescent="0.2">
      <c r="A42" s="1">
        <v>43435</v>
      </c>
      <c r="B42">
        <v>1960</v>
      </c>
      <c r="C42" t="s">
        <v>80</v>
      </c>
      <c r="D42" t="s">
        <v>50</v>
      </c>
      <c r="E42" t="s">
        <v>51</v>
      </c>
      <c r="F42" s="5">
        <v>18</v>
      </c>
      <c r="G42" t="str">
        <f>IF(Data[[#This Row],[Age]]&lt;25,"Under 25",IF(Data[[#This Row],[Age]]&lt;35,"25–34",IF(Data[[#This Row],[Age]]&lt;45,"35–44",IF(Data[[#This Row],[Age]]&lt;55,"45–54","55+"))))</f>
        <v>Under 25</v>
      </c>
      <c r="H42" t="s">
        <v>17</v>
      </c>
      <c r="I42" t="s">
        <v>18</v>
      </c>
      <c r="J42" t="s">
        <v>37</v>
      </c>
      <c r="K42" s="1">
        <v>41958</v>
      </c>
      <c r="M42" s="1" t="str">
        <f>IF(ISBLANK(Data[[#This Row],[EndDate]]),"Active","InActive")</f>
        <v>Active</v>
      </c>
      <c r="N42" t="s">
        <v>20</v>
      </c>
      <c r="O42" t="s">
        <v>21</v>
      </c>
      <c r="P42" t="s">
        <v>40</v>
      </c>
      <c r="Q42" s="2">
        <v>1530</v>
      </c>
    </row>
    <row r="43" spans="1:17" x14ac:dyDescent="0.2">
      <c r="A43" s="1">
        <v>43070</v>
      </c>
      <c r="B43">
        <v>21274</v>
      </c>
      <c r="C43" t="s">
        <v>80</v>
      </c>
      <c r="D43" t="s">
        <v>27</v>
      </c>
      <c r="E43" t="s">
        <v>72</v>
      </c>
      <c r="F43" s="5">
        <v>18</v>
      </c>
      <c r="G43" t="str">
        <f>IF(Data[[#This Row],[Age]]&lt;25,"Under 25",IF(Data[[#This Row],[Age]]&lt;35,"25–34",IF(Data[[#This Row],[Age]]&lt;45,"35–44",IF(Data[[#This Row],[Age]]&lt;55,"45–54","55+"))))</f>
        <v>Under 25</v>
      </c>
      <c r="H43" t="s">
        <v>34</v>
      </c>
      <c r="I43" t="s">
        <v>18</v>
      </c>
      <c r="J43" t="s">
        <v>37</v>
      </c>
      <c r="K43" s="1">
        <v>41606</v>
      </c>
      <c r="M43" s="1" t="str">
        <f>IF(ISBLANK(Data[[#This Row],[EndDate]]),"Active","InActive")</f>
        <v>Active</v>
      </c>
      <c r="N43" t="s">
        <v>20</v>
      </c>
      <c r="O43" t="s">
        <v>21</v>
      </c>
      <c r="P43" t="s">
        <v>32</v>
      </c>
      <c r="Q43" s="2">
        <v>6012</v>
      </c>
    </row>
    <row r="44" spans="1:17" x14ac:dyDescent="0.2">
      <c r="A44" s="1">
        <v>42705</v>
      </c>
      <c r="B44">
        <v>102078</v>
      </c>
      <c r="C44" t="s">
        <v>79</v>
      </c>
      <c r="D44" t="s">
        <v>15</v>
      </c>
      <c r="E44" t="s">
        <v>16</v>
      </c>
      <c r="F44" s="5">
        <v>19</v>
      </c>
      <c r="G44" t="str">
        <f>IF(Data[[#This Row],[Age]]&lt;25,"Under 25",IF(Data[[#This Row],[Age]]&lt;35,"25–34",IF(Data[[#This Row],[Age]]&lt;45,"35–44",IF(Data[[#This Row],[Age]]&lt;55,"45–54","55+"))))</f>
        <v>Under 25</v>
      </c>
      <c r="H44" t="s">
        <v>17</v>
      </c>
      <c r="I44" t="s">
        <v>56</v>
      </c>
      <c r="J44" t="s">
        <v>19</v>
      </c>
      <c r="K44" s="1">
        <v>41263</v>
      </c>
      <c r="L44" s="1">
        <v>41298</v>
      </c>
      <c r="M44" s="1" t="str">
        <f>IF(ISBLANK(Data[[#This Row],[EndDate]]),"Active","InActive")</f>
        <v>InActive</v>
      </c>
      <c r="N44" t="s">
        <v>57</v>
      </c>
      <c r="O44" t="s">
        <v>21</v>
      </c>
      <c r="P44" t="s">
        <v>22</v>
      </c>
      <c r="Q44" s="2">
        <v>2441.5</v>
      </c>
    </row>
    <row r="45" spans="1:17" x14ac:dyDescent="0.2">
      <c r="A45" s="1">
        <v>42705</v>
      </c>
      <c r="B45">
        <v>105070</v>
      </c>
      <c r="C45" t="s">
        <v>79</v>
      </c>
      <c r="D45" t="s">
        <v>23</v>
      </c>
      <c r="E45" t="s">
        <v>24</v>
      </c>
      <c r="F45" s="5">
        <v>19</v>
      </c>
      <c r="G45" t="str">
        <f>IF(Data[[#This Row],[Age]]&lt;25,"Under 25",IF(Data[[#This Row],[Age]]&lt;35,"25–34",IF(Data[[#This Row],[Age]]&lt;45,"35–44",IF(Data[[#This Row],[Age]]&lt;55,"45–54","55+"))))</f>
        <v>Under 25</v>
      </c>
      <c r="H45" t="s">
        <v>25</v>
      </c>
      <c r="I45" t="s">
        <v>56</v>
      </c>
      <c r="J45" t="s">
        <v>26</v>
      </c>
      <c r="K45" s="1">
        <v>41249</v>
      </c>
      <c r="M45" s="1" t="str">
        <f>IF(ISBLANK(Data[[#This Row],[EndDate]]),"Active","InActive")</f>
        <v>Active</v>
      </c>
      <c r="N45" t="s">
        <v>57</v>
      </c>
      <c r="O45" t="s">
        <v>21</v>
      </c>
      <c r="P45" t="s">
        <v>22</v>
      </c>
      <c r="Q45" s="2">
        <v>6080</v>
      </c>
    </row>
    <row r="46" spans="1:17" x14ac:dyDescent="0.2">
      <c r="A46" s="1">
        <v>42705</v>
      </c>
      <c r="B46">
        <v>113268</v>
      </c>
      <c r="C46" t="s">
        <v>80</v>
      </c>
      <c r="D46" t="s">
        <v>27</v>
      </c>
      <c r="E46" t="s">
        <v>28</v>
      </c>
      <c r="F46" s="5">
        <v>19</v>
      </c>
      <c r="G46" t="str">
        <f>IF(Data[[#This Row],[Age]]&lt;25,"Under 25",IF(Data[[#This Row],[Age]]&lt;35,"25–34",IF(Data[[#This Row],[Age]]&lt;45,"35–44",IF(Data[[#This Row],[Age]]&lt;55,"45–54","55+"))))</f>
        <v>Under 25</v>
      </c>
      <c r="H46" t="s">
        <v>17</v>
      </c>
      <c r="I46" t="s">
        <v>56</v>
      </c>
      <c r="J46" t="s">
        <v>26</v>
      </c>
      <c r="K46" s="1">
        <v>41250</v>
      </c>
      <c r="M46" s="1" t="str">
        <f>IF(ISBLANK(Data[[#This Row],[EndDate]]),"Active","InActive")</f>
        <v>Active</v>
      </c>
      <c r="N46" t="s">
        <v>57</v>
      </c>
      <c r="O46" t="s">
        <v>21</v>
      </c>
      <c r="P46" t="s">
        <v>22</v>
      </c>
      <c r="Q46" s="2">
        <v>8521.5</v>
      </c>
    </row>
    <row r="47" spans="1:17" x14ac:dyDescent="0.2">
      <c r="A47" s="1">
        <v>43070</v>
      </c>
      <c r="B47">
        <v>18254</v>
      </c>
      <c r="C47" t="s">
        <v>80</v>
      </c>
      <c r="D47" t="s">
        <v>29</v>
      </c>
      <c r="E47" t="s">
        <v>30</v>
      </c>
      <c r="F47" s="5">
        <v>19</v>
      </c>
      <c r="G47" t="str">
        <f>IF(Data[[#This Row],[Age]]&lt;25,"Under 25",IF(Data[[#This Row],[Age]]&lt;35,"25–34",IF(Data[[#This Row],[Age]]&lt;45,"35–44",IF(Data[[#This Row],[Age]]&lt;55,"45–54","55+"))))</f>
        <v>Under 25</v>
      </c>
      <c r="H47" t="s">
        <v>31</v>
      </c>
      <c r="I47" t="s">
        <v>56</v>
      </c>
      <c r="J47" t="s">
        <v>26</v>
      </c>
      <c r="K47" s="1">
        <v>41625</v>
      </c>
      <c r="L47" s="1">
        <v>41725</v>
      </c>
      <c r="M47" s="1" t="str">
        <f>IF(ISBLANK(Data[[#This Row],[EndDate]]),"Active","InActive")</f>
        <v>InActive</v>
      </c>
      <c r="N47" t="s">
        <v>57</v>
      </c>
      <c r="O47" t="s">
        <v>21</v>
      </c>
      <c r="P47" t="s">
        <v>32</v>
      </c>
      <c r="Q47" s="2">
        <v>7695</v>
      </c>
    </row>
    <row r="48" spans="1:17" x14ac:dyDescent="0.2">
      <c r="A48" s="1">
        <v>42705</v>
      </c>
      <c r="B48">
        <v>110624</v>
      </c>
      <c r="C48" t="s">
        <v>79</v>
      </c>
      <c r="D48" t="s">
        <v>50</v>
      </c>
      <c r="E48" t="s">
        <v>55</v>
      </c>
      <c r="F48" s="5">
        <v>19</v>
      </c>
      <c r="G48" t="str">
        <f>IF(Data[[#This Row],[Age]]&lt;25,"Under 25",IF(Data[[#This Row],[Age]]&lt;35,"25–34",IF(Data[[#This Row],[Age]]&lt;45,"35–44",IF(Data[[#This Row],[Age]]&lt;55,"45–54","55+"))))</f>
        <v>Under 25</v>
      </c>
      <c r="H48" t="s">
        <v>31</v>
      </c>
      <c r="I48" t="s">
        <v>56</v>
      </c>
      <c r="J48" t="s">
        <v>19</v>
      </c>
      <c r="K48" s="1">
        <v>40793</v>
      </c>
      <c r="M48" s="1" t="str">
        <f>IF(ISBLANK(Data[[#This Row],[EndDate]]),"Active","InActive")</f>
        <v>Active</v>
      </c>
      <c r="N48" t="s">
        <v>57</v>
      </c>
      <c r="O48" t="s">
        <v>21</v>
      </c>
      <c r="P48" t="s">
        <v>22</v>
      </c>
      <c r="Q48" s="2">
        <v>4598</v>
      </c>
    </row>
    <row r="49" spans="1:17" x14ac:dyDescent="0.2">
      <c r="A49" s="1">
        <v>43070</v>
      </c>
      <c r="B49">
        <v>40416</v>
      </c>
      <c r="C49" t="s">
        <v>79</v>
      </c>
      <c r="D49" t="s">
        <v>15</v>
      </c>
      <c r="E49" t="s">
        <v>58</v>
      </c>
      <c r="F49" s="5">
        <v>19</v>
      </c>
      <c r="G49" t="str">
        <f>IF(Data[[#This Row],[Age]]&lt;25,"Under 25",IF(Data[[#This Row],[Age]]&lt;35,"25–34",IF(Data[[#This Row],[Age]]&lt;45,"35–44",IF(Data[[#This Row],[Age]]&lt;55,"45–54","55+"))))</f>
        <v>Under 25</v>
      </c>
      <c r="H49" t="s">
        <v>59</v>
      </c>
      <c r="I49" t="s">
        <v>56</v>
      </c>
      <c r="J49" t="s">
        <v>37</v>
      </c>
      <c r="K49" s="1">
        <v>41415</v>
      </c>
      <c r="M49" s="1" t="str">
        <f>IF(ISBLANK(Data[[#This Row],[EndDate]]),"Active","InActive")</f>
        <v>Active</v>
      </c>
      <c r="N49" t="s">
        <v>57</v>
      </c>
      <c r="O49" t="s">
        <v>21</v>
      </c>
      <c r="P49" t="s">
        <v>32</v>
      </c>
      <c r="Q49" s="2">
        <v>8407.5</v>
      </c>
    </row>
    <row r="50" spans="1:17" x14ac:dyDescent="0.2">
      <c r="A50" s="1">
        <v>43070</v>
      </c>
      <c r="B50">
        <v>55646</v>
      </c>
      <c r="C50" t="s">
        <v>80</v>
      </c>
      <c r="D50" t="s">
        <v>47</v>
      </c>
      <c r="E50" t="s">
        <v>64</v>
      </c>
      <c r="F50" s="5">
        <v>19</v>
      </c>
      <c r="G50" t="str">
        <f>IF(Data[[#This Row],[Age]]&lt;25,"Under 25",IF(Data[[#This Row],[Age]]&lt;35,"25–34",IF(Data[[#This Row],[Age]]&lt;45,"35–44",IF(Data[[#This Row],[Age]]&lt;55,"45–54","55+"))))</f>
        <v>Under 25</v>
      </c>
      <c r="H50" t="s">
        <v>49</v>
      </c>
      <c r="I50" t="s">
        <v>56</v>
      </c>
      <c r="J50" t="s">
        <v>37</v>
      </c>
      <c r="K50" s="1">
        <v>41591</v>
      </c>
      <c r="L50" s="1">
        <v>41691</v>
      </c>
      <c r="M50" s="1" t="str">
        <f>IF(ISBLANK(Data[[#This Row],[EndDate]]),"Active","InActive")</f>
        <v>InActive</v>
      </c>
      <c r="N50" t="s">
        <v>57</v>
      </c>
      <c r="O50" t="s">
        <v>21</v>
      </c>
      <c r="P50" t="s">
        <v>32</v>
      </c>
      <c r="Q50" s="2">
        <v>4816.5</v>
      </c>
    </row>
    <row r="51" spans="1:17" x14ac:dyDescent="0.2">
      <c r="A51" s="1">
        <v>43435</v>
      </c>
      <c r="B51">
        <v>43414</v>
      </c>
      <c r="C51" t="s">
        <v>79</v>
      </c>
      <c r="D51" t="s">
        <v>29</v>
      </c>
      <c r="E51" t="s">
        <v>30</v>
      </c>
      <c r="F51" s="5">
        <v>19</v>
      </c>
      <c r="G51" t="str">
        <f>IF(Data[[#This Row],[Age]]&lt;25,"Under 25",IF(Data[[#This Row],[Age]]&lt;35,"25–34",IF(Data[[#This Row],[Age]]&lt;45,"35–44",IF(Data[[#This Row],[Age]]&lt;55,"45–54","55+"))))</f>
        <v>Under 25</v>
      </c>
      <c r="H51" t="s">
        <v>34</v>
      </c>
      <c r="I51" t="s">
        <v>56</v>
      </c>
      <c r="J51" t="s">
        <v>37</v>
      </c>
      <c r="K51" s="1">
        <v>41543</v>
      </c>
      <c r="M51" s="1" t="str">
        <f>IF(ISBLANK(Data[[#This Row],[EndDate]]),"Active","InActive")</f>
        <v>Active</v>
      </c>
      <c r="N51" t="s">
        <v>57</v>
      </c>
      <c r="O51" t="s">
        <v>21</v>
      </c>
      <c r="P51" t="s">
        <v>40</v>
      </c>
      <c r="Q51" s="2">
        <v>7970.5</v>
      </c>
    </row>
    <row r="52" spans="1:17" x14ac:dyDescent="0.2">
      <c r="A52" s="1">
        <v>43070</v>
      </c>
      <c r="B52">
        <v>22466</v>
      </c>
      <c r="C52" t="s">
        <v>79</v>
      </c>
      <c r="D52" t="s">
        <v>15</v>
      </c>
      <c r="E52" t="s">
        <v>70</v>
      </c>
      <c r="F52" s="5">
        <v>19</v>
      </c>
      <c r="G52" t="str">
        <f>IF(Data[[#This Row],[Age]]&lt;25,"Under 25",IF(Data[[#This Row],[Age]]&lt;35,"25–34",IF(Data[[#This Row],[Age]]&lt;45,"35–44",IF(Data[[#This Row],[Age]]&lt;55,"45–54","55+"))))</f>
        <v>Under 25</v>
      </c>
      <c r="H52" t="s">
        <v>25</v>
      </c>
      <c r="I52" t="s">
        <v>56</v>
      </c>
      <c r="J52" t="s">
        <v>19</v>
      </c>
      <c r="K52" s="1">
        <v>41541</v>
      </c>
      <c r="M52" s="1" t="str">
        <f>IF(ISBLANK(Data[[#This Row],[EndDate]]),"Active","InActive")</f>
        <v>Active</v>
      </c>
      <c r="N52" t="s">
        <v>57</v>
      </c>
      <c r="O52" t="s">
        <v>21</v>
      </c>
      <c r="P52" t="s">
        <v>32</v>
      </c>
      <c r="Q52" s="2">
        <v>5035</v>
      </c>
    </row>
    <row r="53" spans="1:17" x14ac:dyDescent="0.2">
      <c r="A53" s="1">
        <v>43070</v>
      </c>
      <c r="B53">
        <v>23252</v>
      </c>
      <c r="C53" t="s">
        <v>80</v>
      </c>
      <c r="D53" t="s">
        <v>43</v>
      </c>
      <c r="E53" t="s">
        <v>66</v>
      </c>
      <c r="F53" s="5">
        <v>19</v>
      </c>
      <c r="G53" t="str">
        <f>IF(Data[[#This Row],[Age]]&lt;25,"Under 25",IF(Data[[#This Row],[Age]]&lt;35,"25–34",IF(Data[[#This Row],[Age]]&lt;45,"35–44",IF(Data[[#This Row],[Age]]&lt;55,"45–54","55+"))))</f>
        <v>Under 25</v>
      </c>
      <c r="H53" t="s">
        <v>25</v>
      </c>
      <c r="I53" t="s">
        <v>56</v>
      </c>
      <c r="J53" t="s">
        <v>35</v>
      </c>
      <c r="K53" s="1">
        <v>41402</v>
      </c>
      <c r="M53" s="1" t="str">
        <f>IF(ISBLANK(Data[[#This Row],[EndDate]]),"Active","InActive")</f>
        <v>Active</v>
      </c>
      <c r="N53" t="s">
        <v>57</v>
      </c>
      <c r="O53" t="s">
        <v>21</v>
      </c>
      <c r="P53" t="s">
        <v>32</v>
      </c>
      <c r="Q53" s="2">
        <v>6213</v>
      </c>
    </row>
    <row r="54" spans="1:17" x14ac:dyDescent="0.2">
      <c r="A54" s="1">
        <v>43070</v>
      </c>
      <c r="B54">
        <v>25044</v>
      </c>
      <c r="C54" t="s">
        <v>79</v>
      </c>
      <c r="D54" t="s">
        <v>50</v>
      </c>
      <c r="E54" t="s">
        <v>51</v>
      </c>
      <c r="F54" s="5">
        <v>19</v>
      </c>
      <c r="G54" t="str">
        <f>IF(Data[[#This Row],[Age]]&lt;25,"Under 25",IF(Data[[#This Row],[Age]]&lt;35,"25–34",IF(Data[[#This Row],[Age]]&lt;45,"35–44",IF(Data[[#This Row],[Age]]&lt;55,"45–54","55+"))))</f>
        <v>Under 25</v>
      </c>
      <c r="H54" t="s">
        <v>17</v>
      </c>
      <c r="I54" t="s">
        <v>56</v>
      </c>
      <c r="J54" t="s">
        <v>35</v>
      </c>
      <c r="K54" s="1">
        <v>41446</v>
      </c>
      <c r="M54" s="1" t="str">
        <f>IF(ISBLANK(Data[[#This Row],[EndDate]]),"Active","InActive")</f>
        <v>Active</v>
      </c>
      <c r="N54" t="s">
        <v>57</v>
      </c>
      <c r="O54" t="s">
        <v>21</v>
      </c>
      <c r="P54" t="s">
        <v>32</v>
      </c>
      <c r="Q54" s="2">
        <v>8911</v>
      </c>
    </row>
    <row r="55" spans="1:17" x14ac:dyDescent="0.2">
      <c r="A55" s="1">
        <v>43070</v>
      </c>
      <c r="B55">
        <v>26148</v>
      </c>
      <c r="C55" t="s">
        <v>79</v>
      </c>
      <c r="D55" t="s">
        <v>38</v>
      </c>
      <c r="E55" t="s">
        <v>61</v>
      </c>
      <c r="F55" s="5">
        <v>19</v>
      </c>
      <c r="G55" t="str">
        <f>IF(Data[[#This Row],[Age]]&lt;25,"Under 25",IF(Data[[#This Row],[Age]]&lt;35,"25–34",IF(Data[[#This Row],[Age]]&lt;45,"35–44",IF(Data[[#This Row],[Age]]&lt;55,"45–54","55+"))))</f>
        <v>Under 25</v>
      </c>
      <c r="H55" t="s">
        <v>46</v>
      </c>
      <c r="I55" t="s">
        <v>56</v>
      </c>
      <c r="J55" t="s">
        <v>35</v>
      </c>
      <c r="K55" s="1">
        <v>41521</v>
      </c>
      <c r="M55" s="1" t="str">
        <f>IF(ISBLANK(Data[[#This Row],[EndDate]]),"Active","InActive")</f>
        <v>Active</v>
      </c>
      <c r="N55" t="s">
        <v>57</v>
      </c>
      <c r="O55" t="s">
        <v>21</v>
      </c>
      <c r="P55" t="s">
        <v>32</v>
      </c>
      <c r="Q55" s="2">
        <v>2840.5</v>
      </c>
    </row>
    <row r="56" spans="1:17" x14ac:dyDescent="0.2">
      <c r="A56" s="1">
        <v>43435</v>
      </c>
      <c r="B56">
        <v>51512</v>
      </c>
      <c r="C56" t="s">
        <v>79</v>
      </c>
      <c r="D56" t="s">
        <v>23</v>
      </c>
      <c r="E56" t="s">
        <v>65</v>
      </c>
      <c r="F56" s="5">
        <v>19</v>
      </c>
      <c r="G56" t="str">
        <f>IF(Data[[#This Row],[Age]]&lt;25,"Under 25",IF(Data[[#This Row],[Age]]&lt;35,"25–34",IF(Data[[#This Row],[Age]]&lt;45,"35–44",IF(Data[[#This Row],[Age]]&lt;55,"45–54","55+"))))</f>
        <v>Under 25</v>
      </c>
      <c r="H56" t="s">
        <v>25</v>
      </c>
      <c r="I56" t="s">
        <v>56</v>
      </c>
      <c r="J56" t="s">
        <v>35</v>
      </c>
      <c r="K56" s="1">
        <v>41934</v>
      </c>
      <c r="M56" s="1" t="str">
        <f>IF(ISBLANK(Data[[#This Row],[EndDate]]),"Active","InActive")</f>
        <v>Active</v>
      </c>
      <c r="N56" t="s">
        <v>57</v>
      </c>
      <c r="O56" t="s">
        <v>21</v>
      </c>
      <c r="P56" t="s">
        <v>40</v>
      </c>
      <c r="Q56" s="2">
        <v>8284</v>
      </c>
    </row>
    <row r="57" spans="1:17" x14ac:dyDescent="0.2">
      <c r="A57" s="1">
        <v>43435</v>
      </c>
      <c r="B57">
        <v>52782</v>
      </c>
      <c r="C57" t="s">
        <v>79</v>
      </c>
      <c r="D57" t="s">
        <v>27</v>
      </c>
      <c r="E57" t="s">
        <v>28</v>
      </c>
      <c r="F57" s="5">
        <v>19</v>
      </c>
      <c r="G57" t="str">
        <f>IF(Data[[#This Row],[Age]]&lt;25,"Under 25",IF(Data[[#This Row],[Age]]&lt;35,"25–34",IF(Data[[#This Row],[Age]]&lt;45,"35–44",IF(Data[[#This Row],[Age]]&lt;55,"45–54","55+"))))</f>
        <v>Under 25</v>
      </c>
      <c r="H57" t="s">
        <v>34</v>
      </c>
      <c r="I57" t="s">
        <v>56</v>
      </c>
      <c r="J57" t="s">
        <v>19</v>
      </c>
      <c r="K57" s="1">
        <v>41642</v>
      </c>
      <c r="M57" s="1" t="str">
        <f>IF(ISBLANK(Data[[#This Row],[EndDate]]),"Active","InActive")</f>
        <v>Active</v>
      </c>
      <c r="N57" t="s">
        <v>57</v>
      </c>
      <c r="O57" t="s">
        <v>21</v>
      </c>
      <c r="P57" t="s">
        <v>40</v>
      </c>
      <c r="Q57" s="2">
        <v>4978</v>
      </c>
    </row>
    <row r="58" spans="1:17" x14ac:dyDescent="0.2">
      <c r="A58" s="1">
        <v>43435</v>
      </c>
      <c r="B58">
        <v>96512</v>
      </c>
      <c r="C58" t="s">
        <v>79</v>
      </c>
      <c r="D58" t="s">
        <v>23</v>
      </c>
      <c r="E58" t="s">
        <v>24</v>
      </c>
      <c r="F58" s="5">
        <v>19</v>
      </c>
      <c r="G58" t="str">
        <f>IF(Data[[#This Row],[Age]]&lt;25,"Under 25",IF(Data[[#This Row],[Age]]&lt;35,"25–34",IF(Data[[#This Row],[Age]]&lt;45,"35–44",IF(Data[[#This Row],[Age]]&lt;55,"45–54","55+"))))</f>
        <v>Under 25</v>
      </c>
      <c r="H58" t="s">
        <v>59</v>
      </c>
      <c r="I58" t="s">
        <v>56</v>
      </c>
      <c r="J58" t="s">
        <v>19</v>
      </c>
      <c r="K58" s="1">
        <v>41660</v>
      </c>
      <c r="M58" s="1" t="str">
        <f>IF(ISBLANK(Data[[#This Row],[EndDate]]),"Active","InActive")</f>
        <v>Active</v>
      </c>
      <c r="N58" t="s">
        <v>57</v>
      </c>
      <c r="O58" t="s">
        <v>21</v>
      </c>
      <c r="P58" t="s">
        <v>40</v>
      </c>
      <c r="Q58" s="2">
        <v>4303.5</v>
      </c>
    </row>
    <row r="59" spans="1:17" x14ac:dyDescent="0.2">
      <c r="A59" s="1">
        <v>43435</v>
      </c>
      <c r="B59">
        <v>97528</v>
      </c>
      <c r="C59" t="s">
        <v>79</v>
      </c>
      <c r="D59" t="s">
        <v>23</v>
      </c>
      <c r="E59" t="s">
        <v>65</v>
      </c>
      <c r="F59" s="5">
        <v>19</v>
      </c>
      <c r="G59" t="str">
        <f>IF(Data[[#This Row],[Age]]&lt;25,"Under 25",IF(Data[[#This Row],[Age]]&lt;35,"25–34",IF(Data[[#This Row],[Age]]&lt;45,"35–44",IF(Data[[#This Row],[Age]]&lt;55,"45–54","55+"))))</f>
        <v>Under 25</v>
      </c>
      <c r="H59" t="s">
        <v>46</v>
      </c>
      <c r="I59" t="s">
        <v>56</v>
      </c>
      <c r="J59" t="s">
        <v>19</v>
      </c>
      <c r="K59" s="1">
        <v>41576</v>
      </c>
      <c r="M59" s="1" t="str">
        <f>IF(ISBLANK(Data[[#This Row],[EndDate]]),"Active","InActive")</f>
        <v>Active</v>
      </c>
      <c r="N59" t="s">
        <v>57</v>
      </c>
      <c r="O59" t="s">
        <v>21</v>
      </c>
      <c r="P59" t="s">
        <v>40</v>
      </c>
      <c r="Q59" s="2">
        <v>2527</v>
      </c>
    </row>
    <row r="60" spans="1:17" x14ac:dyDescent="0.2">
      <c r="A60" s="1">
        <v>43435</v>
      </c>
      <c r="B60">
        <v>98472</v>
      </c>
      <c r="C60" t="s">
        <v>79</v>
      </c>
      <c r="D60" t="s">
        <v>38</v>
      </c>
      <c r="E60" t="s">
        <v>39</v>
      </c>
      <c r="F60" s="5">
        <v>19</v>
      </c>
      <c r="G60" t="str">
        <f>IF(Data[[#This Row],[Age]]&lt;25,"Under 25",IF(Data[[#This Row],[Age]]&lt;35,"25–34",IF(Data[[#This Row],[Age]]&lt;45,"35–44",IF(Data[[#This Row],[Age]]&lt;55,"45–54","55+"))))</f>
        <v>Under 25</v>
      </c>
      <c r="H60" t="s">
        <v>34</v>
      </c>
      <c r="I60" t="s">
        <v>56</v>
      </c>
      <c r="J60" t="s">
        <v>19</v>
      </c>
      <c r="K60" s="1">
        <v>41954</v>
      </c>
      <c r="M60" s="1" t="str">
        <f>IF(ISBLANK(Data[[#This Row],[EndDate]]),"Active","InActive")</f>
        <v>Active</v>
      </c>
      <c r="N60" t="s">
        <v>57</v>
      </c>
      <c r="O60" t="s">
        <v>21</v>
      </c>
      <c r="P60" t="s">
        <v>40</v>
      </c>
      <c r="Q60" s="2">
        <v>2992.5</v>
      </c>
    </row>
    <row r="61" spans="1:17" x14ac:dyDescent="0.2">
      <c r="A61" s="1">
        <v>42705</v>
      </c>
      <c r="B61">
        <v>49976</v>
      </c>
      <c r="C61" t="s">
        <v>79</v>
      </c>
      <c r="D61" t="s">
        <v>23</v>
      </c>
      <c r="E61" t="s">
        <v>24</v>
      </c>
      <c r="F61" s="5">
        <v>19</v>
      </c>
      <c r="G61" t="str">
        <f>IF(Data[[#This Row],[Age]]&lt;25,"Under 25",IF(Data[[#This Row],[Age]]&lt;35,"25–34",IF(Data[[#This Row],[Age]]&lt;45,"35–44",IF(Data[[#This Row],[Age]]&lt;55,"45–54","55+"))))</f>
        <v>Under 25</v>
      </c>
      <c r="H61" t="s">
        <v>46</v>
      </c>
      <c r="I61" t="s">
        <v>56</v>
      </c>
      <c r="J61" t="s">
        <v>26</v>
      </c>
      <c r="K61" s="1">
        <v>41130</v>
      </c>
      <c r="M61" s="1" t="str">
        <f>IF(ISBLANK(Data[[#This Row],[EndDate]]),"Active","InActive")</f>
        <v>Active</v>
      </c>
      <c r="N61" t="s">
        <v>57</v>
      </c>
      <c r="O61" t="s">
        <v>21</v>
      </c>
      <c r="P61" t="s">
        <v>22</v>
      </c>
      <c r="Q61" s="2">
        <v>3591</v>
      </c>
    </row>
    <row r="62" spans="1:17" x14ac:dyDescent="0.2">
      <c r="A62" s="1">
        <v>42705</v>
      </c>
      <c r="B62">
        <v>101156</v>
      </c>
      <c r="C62" t="s">
        <v>80</v>
      </c>
      <c r="D62" t="s">
        <v>23</v>
      </c>
      <c r="E62" t="s">
        <v>24</v>
      </c>
      <c r="F62" s="5">
        <v>19</v>
      </c>
      <c r="G62" t="str">
        <f>IF(Data[[#This Row],[Age]]&lt;25,"Under 25",IF(Data[[#This Row],[Age]]&lt;35,"25–34",IF(Data[[#This Row],[Age]]&lt;45,"35–44",IF(Data[[#This Row],[Age]]&lt;55,"45–54","55+"))))</f>
        <v>Under 25</v>
      </c>
      <c r="H62" t="s">
        <v>17</v>
      </c>
      <c r="I62" t="s">
        <v>56</v>
      </c>
      <c r="J62" t="s">
        <v>26</v>
      </c>
      <c r="K62" s="1">
        <v>41215</v>
      </c>
      <c r="M62" s="1" t="str">
        <f>IF(ISBLANK(Data[[#This Row],[EndDate]]),"Active","InActive")</f>
        <v>Active</v>
      </c>
      <c r="N62" t="s">
        <v>57</v>
      </c>
      <c r="O62" t="s">
        <v>21</v>
      </c>
      <c r="P62" t="s">
        <v>22</v>
      </c>
      <c r="Q62" s="2">
        <v>8721</v>
      </c>
    </row>
    <row r="63" spans="1:17" x14ac:dyDescent="0.2">
      <c r="A63" s="1">
        <v>43070</v>
      </c>
      <c r="B63">
        <v>17056</v>
      </c>
      <c r="C63" t="s">
        <v>79</v>
      </c>
      <c r="D63" t="s">
        <v>15</v>
      </c>
      <c r="E63" t="s">
        <v>58</v>
      </c>
      <c r="F63" s="5">
        <v>19</v>
      </c>
      <c r="G63" t="str">
        <f>IF(Data[[#This Row],[Age]]&lt;25,"Under 25",IF(Data[[#This Row],[Age]]&lt;35,"25–34",IF(Data[[#This Row],[Age]]&lt;45,"35–44",IF(Data[[#This Row],[Age]]&lt;55,"45–54","55+"))))</f>
        <v>Under 25</v>
      </c>
      <c r="H63" t="s">
        <v>59</v>
      </c>
      <c r="I63" t="s">
        <v>56</v>
      </c>
      <c r="J63" t="s">
        <v>26</v>
      </c>
      <c r="K63" s="1">
        <v>41460</v>
      </c>
      <c r="M63" s="1" t="str">
        <f>IF(ISBLANK(Data[[#This Row],[EndDate]]),"Active","InActive")</f>
        <v>Active</v>
      </c>
      <c r="N63" t="s">
        <v>57</v>
      </c>
      <c r="O63" t="s">
        <v>21</v>
      </c>
      <c r="P63" t="s">
        <v>32</v>
      </c>
      <c r="Q63" s="2">
        <v>4617</v>
      </c>
    </row>
    <row r="64" spans="1:17" x14ac:dyDescent="0.2">
      <c r="A64" s="1">
        <v>43070</v>
      </c>
      <c r="B64">
        <v>19204</v>
      </c>
      <c r="C64" t="s">
        <v>79</v>
      </c>
      <c r="D64" t="s">
        <v>43</v>
      </c>
      <c r="E64" t="s">
        <v>60</v>
      </c>
      <c r="F64" s="5">
        <v>19</v>
      </c>
      <c r="G64" t="str">
        <f>IF(Data[[#This Row],[Age]]&lt;25,"Under 25",IF(Data[[#This Row],[Age]]&lt;35,"25–34",IF(Data[[#This Row],[Age]]&lt;45,"35–44",IF(Data[[#This Row],[Age]]&lt;55,"45–54","55+"))))</f>
        <v>Under 25</v>
      </c>
      <c r="H64" t="s">
        <v>17</v>
      </c>
      <c r="I64" t="s">
        <v>56</v>
      </c>
      <c r="J64" t="s">
        <v>26</v>
      </c>
      <c r="K64" s="1">
        <v>41503</v>
      </c>
      <c r="M64" s="1" t="str">
        <f>IF(ISBLANK(Data[[#This Row],[EndDate]]),"Active","InActive")</f>
        <v>Active</v>
      </c>
      <c r="N64" t="s">
        <v>57</v>
      </c>
      <c r="O64" t="s">
        <v>21</v>
      </c>
      <c r="P64" t="s">
        <v>32</v>
      </c>
      <c r="Q64" s="2">
        <v>2783.5</v>
      </c>
    </row>
    <row r="65" spans="1:17" x14ac:dyDescent="0.2">
      <c r="A65" s="1">
        <v>43070</v>
      </c>
      <c r="B65">
        <v>53938</v>
      </c>
      <c r="C65" t="s">
        <v>79</v>
      </c>
      <c r="D65" t="s">
        <v>41</v>
      </c>
      <c r="E65" t="s">
        <v>68</v>
      </c>
      <c r="F65" s="5">
        <v>19</v>
      </c>
      <c r="G65" t="str">
        <f>IF(Data[[#This Row],[Age]]&lt;25,"Under 25",IF(Data[[#This Row],[Age]]&lt;35,"25–34",IF(Data[[#This Row],[Age]]&lt;45,"35–44",IF(Data[[#This Row],[Age]]&lt;55,"45–54","55+"))))</f>
        <v>Under 25</v>
      </c>
      <c r="H65" t="s">
        <v>25</v>
      </c>
      <c r="I65" t="s">
        <v>56</v>
      </c>
      <c r="J65" t="s">
        <v>26</v>
      </c>
      <c r="K65" s="1">
        <v>41403</v>
      </c>
      <c r="M65" s="1" t="str">
        <f>IF(ISBLANK(Data[[#This Row],[EndDate]]),"Active","InActive")</f>
        <v>Active</v>
      </c>
      <c r="N65" t="s">
        <v>57</v>
      </c>
      <c r="O65" t="s">
        <v>21</v>
      </c>
      <c r="P65" t="s">
        <v>32</v>
      </c>
      <c r="Q65" s="2">
        <v>4531.5</v>
      </c>
    </row>
    <row r="66" spans="1:17" x14ac:dyDescent="0.2">
      <c r="A66" s="1">
        <v>43070</v>
      </c>
      <c r="B66">
        <v>55468</v>
      </c>
      <c r="C66" t="s">
        <v>79</v>
      </c>
      <c r="D66" t="s">
        <v>52</v>
      </c>
      <c r="E66" t="s">
        <v>53</v>
      </c>
      <c r="F66" s="5">
        <v>19</v>
      </c>
      <c r="G66" t="str">
        <f>IF(Data[[#This Row],[Age]]&lt;25,"Under 25",IF(Data[[#This Row],[Age]]&lt;35,"25–34",IF(Data[[#This Row],[Age]]&lt;45,"35–44",IF(Data[[#This Row],[Age]]&lt;55,"45–54","55+"))))</f>
        <v>Under 25</v>
      </c>
      <c r="H66" t="s">
        <v>49</v>
      </c>
      <c r="I66" t="s">
        <v>56</v>
      </c>
      <c r="J66" t="s">
        <v>26</v>
      </c>
      <c r="K66" s="1">
        <v>41039</v>
      </c>
      <c r="M66" s="1" t="str">
        <f>IF(ISBLANK(Data[[#This Row],[EndDate]]),"Active","InActive")</f>
        <v>Active</v>
      </c>
      <c r="N66" t="s">
        <v>57</v>
      </c>
      <c r="O66" t="s">
        <v>21</v>
      </c>
      <c r="P66" t="s">
        <v>32</v>
      </c>
      <c r="Q66" s="2">
        <v>7353</v>
      </c>
    </row>
    <row r="67" spans="1:17" x14ac:dyDescent="0.2">
      <c r="A67" s="1">
        <v>43435</v>
      </c>
      <c r="B67">
        <v>49578</v>
      </c>
      <c r="C67" t="s">
        <v>79</v>
      </c>
      <c r="D67" t="s">
        <v>38</v>
      </c>
      <c r="E67" t="s">
        <v>39</v>
      </c>
      <c r="F67" s="5">
        <v>19</v>
      </c>
      <c r="G67" t="str">
        <f>IF(Data[[#This Row],[Age]]&lt;25,"Under 25",IF(Data[[#This Row],[Age]]&lt;35,"25–34",IF(Data[[#This Row],[Age]]&lt;45,"35–44",IF(Data[[#This Row],[Age]]&lt;55,"45–54","55+"))))</f>
        <v>Under 25</v>
      </c>
      <c r="H67" t="s">
        <v>49</v>
      </c>
      <c r="I67" t="s">
        <v>56</v>
      </c>
      <c r="J67" t="s">
        <v>26</v>
      </c>
      <c r="K67" s="1">
        <v>41830</v>
      </c>
      <c r="M67" s="1" t="str">
        <f>IF(ISBLANK(Data[[#This Row],[EndDate]]),"Active","InActive")</f>
        <v>Active</v>
      </c>
      <c r="N67" t="s">
        <v>57</v>
      </c>
      <c r="O67" t="s">
        <v>21</v>
      </c>
      <c r="P67" t="s">
        <v>40</v>
      </c>
      <c r="Q67" s="2">
        <v>1529.5</v>
      </c>
    </row>
    <row r="68" spans="1:17" x14ac:dyDescent="0.2">
      <c r="A68" s="1">
        <v>43435</v>
      </c>
      <c r="B68">
        <v>53816</v>
      </c>
      <c r="C68" t="s">
        <v>79</v>
      </c>
      <c r="D68" t="s">
        <v>15</v>
      </c>
      <c r="E68" t="s">
        <v>58</v>
      </c>
      <c r="F68" s="5">
        <v>19</v>
      </c>
      <c r="G68" t="str">
        <f>IF(Data[[#This Row],[Age]]&lt;25,"Under 25",IF(Data[[#This Row],[Age]]&lt;35,"25–34",IF(Data[[#This Row],[Age]]&lt;45,"35–44",IF(Data[[#This Row],[Age]]&lt;55,"45–54","55+"))))</f>
        <v>Under 25</v>
      </c>
      <c r="H68" t="s">
        <v>46</v>
      </c>
      <c r="I68" t="s">
        <v>56</v>
      </c>
      <c r="J68" t="s">
        <v>26</v>
      </c>
      <c r="K68" s="1">
        <v>41920</v>
      </c>
      <c r="L68" s="1">
        <v>42040</v>
      </c>
      <c r="M68" s="1" t="str">
        <f>IF(ISBLANK(Data[[#This Row],[EndDate]]),"Active","InActive")</f>
        <v>InActive</v>
      </c>
      <c r="N68" t="s">
        <v>57</v>
      </c>
      <c r="O68" t="s">
        <v>21</v>
      </c>
      <c r="P68" t="s">
        <v>40</v>
      </c>
      <c r="Q68" s="2">
        <v>7600</v>
      </c>
    </row>
    <row r="69" spans="1:17" x14ac:dyDescent="0.2">
      <c r="A69" s="1">
        <v>43435</v>
      </c>
      <c r="B69">
        <v>53952</v>
      </c>
      <c r="C69" t="s">
        <v>80</v>
      </c>
      <c r="D69" t="s">
        <v>52</v>
      </c>
      <c r="E69" t="s">
        <v>67</v>
      </c>
      <c r="F69" s="5">
        <v>19</v>
      </c>
      <c r="G69" t="str">
        <f>IF(Data[[#This Row],[Age]]&lt;25,"Under 25",IF(Data[[#This Row],[Age]]&lt;35,"25–34",IF(Data[[#This Row],[Age]]&lt;45,"35–44",IF(Data[[#This Row],[Age]]&lt;55,"45–54","55+"))))</f>
        <v>Under 25</v>
      </c>
      <c r="H69" t="s">
        <v>46</v>
      </c>
      <c r="I69" t="s">
        <v>18</v>
      </c>
      <c r="J69" t="s">
        <v>26</v>
      </c>
      <c r="K69" s="1">
        <v>41461</v>
      </c>
      <c r="L69" s="1">
        <v>41581</v>
      </c>
      <c r="M69" s="1" t="str">
        <f>IF(ISBLANK(Data[[#This Row],[EndDate]]),"Active","InActive")</f>
        <v>InActive</v>
      </c>
      <c r="N69" t="s">
        <v>20</v>
      </c>
      <c r="O69" t="s">
        <v>21</v>
      </c>
      <c r="P69" t="s">
        <v>40</v>
      </c>
      <c r="Q69" s="2">
        <v>6887.5</v>
      </c>
    </row>
    <row r="70" spans="1:17" x14ac:dyDescent="0.2">
      <c r="A70" s="1">
        <v>43435</v>
      </c>
      <c r="B70">
        <v>56394</v>
      </c>
      <c r="C70" t="s">
        <v>80</v>
      </c>
      <c r="D70" t="s">
        <v>29</v>
      </c>
      <c r="E70" t="s">
        <v>33</v>
      </c>
      <c r="F70" s="5">
        <v>19</v>
      </c>
      <c r="G70" t="str">
        <f>IF(Data[[#This Row],[Age]]&lt;25,"Under 25",IF(Data[[#This Row],[Age]]&lt;35,"25–34",IF(Data[[#This Row],[Age]]&lt;45,"35–44",IF(Data[[#This Row],[Age]]&lt;55,"45–54","55+"))))</f>
        <v>Under 25</v>
      </c>
      <c r="H70" t="s">
        <v>49</v>
      </c>
      <c r="I70" t="s">
        <v>18</v>
      </c>
      <c r="J70" t="s">
        <v>26</v>
      </c>
      <c r="K70" s="1">
        <v>41929</v>
      </c>
      <c r="M70" s="1" t="str">
        <f>IF(ISBLANK(Data[[#This Row],[EndDate]]),"Active","InActive")</f>
        <v>Active</v>
      </c>
      <c r="N70" t="s">
        <v>20</v>
      </c>
      <c r="O70" t="s">
        <v>21</v>
      </c>
      <c r="P70" t="s">
        <v>40</v>
      </c>
      <c r="Q70" s="2">
        <v>3648</v>
      </c>
    </row>
    <row r="71" spans="1:17" x14ac:dyDescent="0.2">
      <c r="A71" s="1">
        <v>42705</v>
      </c>
      <c r="B71">
        <v>8506</v>
      </c>
      <c r="C71" t="s">
        <v>79</v>
      </c>
      <c r="D71" t="s">
        <v>50</v>
      </c>
      <c r="E71" t="s">
        <v>55</v>
      </c>
      <c r="F71" s="5">
        <v>19</v>
      </c>
      <c r="G71" t="str">
        <f>IF(Data[[#This Row],[Age]]&lt;25,"Under 25",IF(Data[[#This Row],[Age]]&lt;35,"25–34",IF(Data[[#This Row],[Age]]&lt;45,"35–44",IF(Data[[#This Row],[Age]]&lt;55,"45–54","55+"))))</f>
        <v>Under 25</v>
      </c>
      <c r="H71" t="s">
        <v>59</v>
      </c>
      <c r="I71" t="s">
        <v>18</v>
      </c>
      <c r="J71" t="s">
        <v>37</v>
      </c>
      <c r="K71" s="1">
        <v>41164</v>
      </c>
      <c r="M71" s="1" t="str">
        <f>IF(ISBLANK(Data[[#This Row],[EndDate]]),"Active","InActive")</f>
        <v>Active</v>
      </c>
      <c r="N71" t="s">
        <v>20</v>
      </c>
      <c r="O71" t="s">
        <v>21</v>
      </c>
      <c r="P71" t="s">
        <v>22</v>
      </c>
      <c r="Q71" s="2">
        <v>4864</v>
      </c>
    </row>
    <row r="72" spans="1:17" x14ac:dyDescent="0.2">
      <c r="A72" s="1">
        <v>42705</v>
      </c>
      <c r="B72">
        <v>25168</v>
      </c>
      <c r="C72" t="s">
        <v>79</v>
      </c>
      <c r="D72" t="s">
        <v>27</v>
      </c>
      <c r="E72" t="s">
        <v>28</v>
      </c>
      <c r="F72" s="5">
        <v>19</v>
      </c>
      <c r="G72" t="str">
        <f>IF(Data[[#This Row],[Age]]&lt;25,"Under 25",IF(Data[[#This Row],[Age]]&lt;35,"25–34",IF(Data[[#This Row],[Age]]&lt;45,"35–44",IF(Data[[#This Row],[Age]]&lt;55,"45–54","55+"))))</f>
        <v>Under 25</v>
      </c>
      <c r="H72" t="s">
        <v>31</v>
      </c>
      <c r="I72" t="s">
        <v>18</v>
      </c>
      <c r="J72" t="s">
        <v>37</v>
      </c>
      <c r="K72" s="1">
        <v>41207</v>
      </c>
      <c r="M72" s="1" t="str">
        <f>IF(ISBLANK(Data[[#This Row],[EndDate]]),"Active","InActive")</f>
        <v>Active</v>
      </c>
      <c r="N72" t="s">
        <v>20</v>
      </c>
      <c r="O72" t="s">
        <v>21</v>
      </c>
      <c r="P72" t="s">
        <v>22</v>
      </c>
      <c r="Q72" s="2">
        <v>2023.5</v>
      </c>
    </row>
    <row r="73" spans="1:17" x14ac:dyDescent="0.2">
      <c r="A73" s="1">
        <v>42705</v>
      </c>
      <c r="B73">
        <v>104692</v>
      </c>
      <c r="C73" t="s">
        <v>80</v>
      </c>
      <c r="D73" t="s">
        <v>15</v>
      </c>
      <c r="E73" t="s">
        <v>70</v>
      </c>
      <c r="F73" s="5">
        <v>19</v>
      </c>
      <c r="G73" t="str">
        <f>IF(Data[[#This Row],[Age]]&lt;25,"Under 25",IF(Data[[#This Row],[Age]]&lt;35,"25–34",IF(Data[[#This Row],[Age]]&lt;45,"35–44",IF(Data[[#This Row],[Age]]&lt;55,"45–54","55+"))))</f>
        <v>Under 25</v>
      </c>
      <c r="H73" t="s">
        <v>46</v>
      </c>
      <c r="I73" t="s">
        <v>18</v>
      </c>
      <c r="J73" t="s">
        <v>37</v>
      </c>
      <c r="K73" s="1">
        <v>40935</v>
      </c>
      <c r="M73" s="1" t="str">
        <f>IF(ISBLANK(Data[[#This Row],[EndDate]]),"Active","InActive")</f>
        <v>Active</v>
      </c>
      <c r="N73" t="s">
        <v>20</v>
      </c>
      <c r="O73" t="s">
        <v>21</v>
      </c>
      <c r="P73" t="s">
        <v>22</v>
      </c>
      <c r="Q73" s="2">
        <v>4351</v>
      </c>
    </row>
    <row r="74" spans="1:17" x14ac:dyDescent="0.2">
      <c r="A74" s="1">
        <v>42705</v>
      </c>
      <c r="B74">
        <v>109260</v>
      </c>
      <c r="C74" t="s">
        <v>79</v>
      </c>
      <c r="D74" t="s">
        <v>27</v>
      </c>
      <c r="E74" t="s">
        <v>74</v>
      </c>
      <c r="F74" s="5">
        <v>19</v>
      </c>
      <c r="G74" t="str">
        <f>IF(Data[[#This Row],[Age]]&lt;25,"Under 25",IF(Data[[#This Row],[Age]]&lt;35,"25–34",IF(Data[[#This Row],[Age]]&lt;45,"35–44",IF(Data[[#This Row],[Age]]&lt;55,"45–54","55+"))))</f>
        <v>Under 25</v>
      </c>
      <c r="H74" t="s">
        <v>17</v>
      </c>
      <c r="I74" t="s">
        <v>18</v>
      </c>
      <c r="J74" t="s">
        <v>37</v>
      </c>
      <c r="K74" s="1">
        <v>40716</v>
      </c>
      <c r="M74" s="1" t="str">
        <f>IF(ISBLANK(Data[[#This Row],[EndDate]]),"Active","InActive")</f>
        <v>Active</v>
      </c>
      <c r="N74" t="s">
        <v>20</v>
      </c>
      <c r="O74" t="s">
        <v>21</v>
      </c>
      <c r="P74" t="s">
        <v>22</v>
      </c>
      <c r="Q74" s="2">
        <v>5567</v>
      </c>
    </row>
    <row r="75" spans="1:17" x14ac:dyDescent="0.2">
      <c r="A75" s="1">
        <v>42705</v>
      </c>
      <c r="B75">
        <v>113630</v>
      </c>
      <c r="C75" t="s">
        <v>80</v>
      </c>
      <c r="D75" t="s">
        <v>50</v>
      </c>
      <c r="E75" t="s">
        <v>51</v>
      </c>
      <c r="F75" s="5">
        <v>19</v>
      </c>
      <c r="G75" t="str">
        <f>IF(Data[[#This Row],[Age]]&lt;25,"Under 25",IF(Data[[#This Row],[Age]]&lt;35,"25–34",IF(Data[[#This Row],[Age]]&lt;45,"35–44",IF(Data[[#This Row],[Age]]&lt;55,"45–54","55+"))))</f>
        <v>Under 25</v>
      </c>
      <c r="H75" t="s">
        <v>34</v>
      </c>
      <c r="I75" t="s">
        <v>18</v>
      </c>
      <c r="J75" t="s">
        <v>37</v>
      </c>
      <c r="K75" s="1">
        <v>41194</v>
      </c>
      <c r="M75" s="1" t="str">
        <f>IF(ISBLANK(Data[[#This Row],[EndDate]]),"Active","InActive")</f>
        <v>Active</v>
      </c>
      <c r="N75" t="s">
        <v>20</v>
      </c>
      <c r="O75" t="s">
        <v>21</v>
      </c>
      <c r="P75" t="s">
        <v>22</v>
      </c>
      <c r="Q75" s="2">
        <v>6669</v>
      </c>
    </row>
    <row r="76" spans="1:17" x14ac:dyDescent="0.2">
      <c r="A76" s="1">
        <v>43070</v>
      </c>
      <c r="B76">
        <v>1988</v>
      </c>
      <c r="C76" t="s">
        <v>79</v>
      </c>
      <c r="D76" t="s">
        <v>41</v>
      </c>
      <c r="E76" t="s">
        <v>42</v>
      </c>
      <c r="F76" s="5">
        <v>19</v>
      </c>
      <c r="G76" t="str">
        <f>IF(Data[[#This Row],[Age]]&lt;25,"Under 25",IF(Data[[#This Row],[Age]]&lt;35,"25–34",IF(Data[[#This Row],[Age]]&lt;45,"35–44",IF(Data[[#This Row],[Age]]&lt;55,"45–54","55+"))))</f>
        <v>Under 25</v>
      </c>
      <c r="H76" t="s">
        <v>49</v>
      </c>
      <c r="I76" t="s">
        <v>18</v>
      </c>
      <c r="J76" t="s">
        <v>37</v>
      </c>
      <c r="K76" s="1">
        <v>41510</v>
      </c>
      <c r="M76" s="1" t="str">
        <f>IF(ISBLANK(Data[[#This Row],[EndDate]]),"Active","InActive")</f>
        <v>Active</v>
      </c>
      <c r="N76" t="s">
        <v>20</v>
      </c>
      <c r="O76" t="s">
        <v>21</v>
      </c>
      <c r="P76" t="s">
        <v>32</v>
      </c>
      <c r="Q76" s="2">
        <v>2574.5</v>
      </c>
    </row>
    <row r="77" spans="1:17" x14ac:dyDescent="0.2">
      <c r="A77" s="1">
        <v>43070</v>
      </c>
      <c r="B77">
        <v>2056</v>
      </c>
      <c r="C77" t="s">
        <v>80</v>
      </c>
      <c r="D77" t="s">
        <v>41</v>
      </c>
      <c r="E77" t="s">
        <v>62</v>
      </c>
      <c r="F77" s="5">
        <v>19</v>
      </c>
      <c r="G77" t="str">
        <f>IF(Data[[#This Row],[Age]]&lt;25,"Under 25",IF(Data[[#This Row],[Age]]&lt;35,"25–34",IF(Data[[#This Row],[Age]]&lt;45,"35–44",IF(Data[[#This Row],[Age]]&lt;55,"45–54","55+"))))</f>
        <v>Under 25</v>
      </c>
      <c r="H77" t="s">
        <v>31</v>
      </c>
      <c r="I77" t="s">
        <v>18</v>
      </c>
      <c r="J77" t="s">
        <v>37</v>
      </c>
      <c r="K77" s="1">
        <v>41439</v>
      </c>
      <c r="M77" s="1" t="str">
        <f>IF(ISBLANK(Data[[#This Row],[EndDate]]),"Active","InActive")</f>
        <v>Active</v>
      </c>
      <c r="N77" t="s">
        <v>20</v>
      </c>
      <c r="O77" t="s">
        <v>21</v>
      </c>
      <c r="P77" t="s">
        <v>32</v>
      </c>
      <c r="Q77" s="2">
        <v>1852.5</v>
      </c>
    </row>
    <row r="78" spans="1:17" x14ac:dyDescent="0.2">
      <c r="A78" s="1">
        <v>43070</v>
      </c>
      <c r="B78">
        <v>41030</v>
      </c>
      <c r="C78" t="s">
        <v>79</v>
      </c>
      <c r="D78" t="s">
        <v>41</v>
      </c>
      <c r="E78" t="s">
        <v>62</v>
      </c>
      <c r="F78" s="5">
        <v>19</v>
      </c>
      <c r="G78" t="str">
        <f>IF(Data[[#This Row],[Age]]&lt;25,"Under 25",IF(Data[[#This Row],[Age]]&lt;35,"25–34",IF(Data[[#This Row],[Age]]&lt;45,"35–44",IF(Data[[#This Row],[Age]]&lt;55,"45–54","55+"))))</f>
        <v>Under 25</v>
      </c>
      <c r="H78" t="s">
        <v>25</v>
      </c>
      <c r="I78" t="s">
        <v>18</v>
      </c>
      <c r="J78" t="s">
        <v>37</v>
      </c>
      <c r="K78" s="1">
        <v>41410</v>
      </c>
      <c r="M78" s="1" t="str">
        <f>IF(ISBLANK(Data[[#This Row],[EndDate]]),"Active","InActive")</f>
        <v>Active</v>
      </c>
      <c r="N78" t="s">
        <v>20</v>
      </c>
      <c r="O78" t="s">
        <v>21</v>
      </c>
      <c r="P78" t="s">
        <v>32</v>
      </c>
      <c r="Q78" s="2">
        <v>9158</v>
      </c>
    </row>
    <row r="79" spans="1:17" x14ac:dyDescent="0.2">
      <c r="A79" s="1">
        <v>43070</v>
      </c>
      <c r="B79">
        <v>43990</v>
      </c>
      <c r="C79" t="s">
        <v>80</v>
      </c>
      <c r="D79" t="s">
        <v>27</v>
      </c>
      <c r="E79" t="s">
        <v>28</v>
      </c>
      <c r="F79" s="5">
        <v>19</v>
      </c>
      <c r="G79" t="str">
        <f>IF(Data[[#This Row],[Age]]&lt;25,"Under 25",IF(Data[[#This Row],[Age]]&lt;35,"25–34",IF(Data[[#This Row],[Age]]&lt;45,"35–44",IF(Data[[#This Row],[Age]]&lt;55,"45–54","55+"))))</f>
        <v>Under 25</v>
      </c>
      <c r="H79" t="s">
        <v>49</v>
      </c>
      <c r="I79" t="s">
        <v>18</v>
      </c>
      <c r="J79" t="s">
        <v>37</v>
      </c>
      <c r="K79" s="1">
        <v>41536</v>
      </c>
      <c r="L79" s="1">
        <v>41636</v>
      </c>
      <c r="M79" s="1" t="str">
        <f>IF(ISBLANK(Data[[#This Row],[EndDate]]),"Active","InActive")</f>
        <v>InActive</v>
      </c>
      <c r="N79" t="s">
        <v>20</v>
      </c>
      <c r="O79" t="s">
        <v>21</v>
      </c>
      <c r="P79" t="s">
        <v>32</v>
      </c>
      <c r="Q79" s="2">
        <v>4550.5</v>
      </c>
    </row>
    <row r="80" spans="1:17" x14ac:dyDescent="0.2">
      <c r="A80" s="1">
        <v>43070</v>
      </c>
      <c r="B80">
        <v>44114</v>
      </c>
      <c r="C80" t="s">
        <v>80</v>
      </c>
      <c r="D80" t="s">
        <v>27</v>
      </c>
      <c r="E80" t="s">
        <v>28</v>
      </c>
      <c r="F80" s="5">
        <v>19</v>
      </c>
      <c r="G80" t="str">
        <f>IF(Data[[#This Row],[Age]]&lt;25,"Under 25",IF(Data[[#This Row],[Age]]&lt;35,"25–34",IF(Data[[#This Row],[Age]]&lt;45,"35–44",IF(Data[[#This Row],[Age]]&lt;55,"45–54","55+"))))</f>
        <v>Under 25</v>
      </c>
      <c r="H80" t="s">
        <v>17</v>
      </c>
      <c r="I80" t="s">
        <v>18</v>
      </c>
      <c r="J80" t="s">
        <v>37</v>
      </c>
      <c r="K80" s="1">
        <v>41466</v>
      </c>
      <c r="M80" s="1" t="str">
        <f>IF(ISBLANK(Data[[#This Row],[EndDate]]),"Active","InActive")</f>
        <v>Active</v>
      </c>
      <c r="N80" t="s">
        <v>20</v>
      </c>
      <c r="O80" t="s">
        <v>21</v>
      </c>
      <c r="P80" t="s">
        <v>32</v>
      </c>
      <c r="Q80" s="2">
        <v>3847.5</v>
      </c>
    </row>
    <row r="81" spans="1:17" x14ac:dyDescent="0.2">
      <c r="A81" s="1">
        <v>43435</v>
      </c>
      <c r="B81">
        <v>41090</v>
      </c>
      <c r="C81" t="s">
        <v>80</v>
      </c>
      <c r="D81" t="s">
        <v>15</v>
      </c>
      <c r="E81" t="s">
        <v>16</v>
      </c>
      <c r="F81" s="5">
        <v>19</v>
      </c>
      <c r="G81" t="str">
        <f>IF(Data[[#This Row],[Age]]&lt;25,"Under 25",IF(Data[[#This Row],[Age]]&lt;35,"25–34",IF(Data[[#This Row],[Age]]&lt;45,"35–44",IF(Data[[#This Row],[Age]]&lt;55,"45–54","55+"))))</f>
        <v>Under 25</v>
      </c>
      <c r="H81" t="s">
        <v>17</v>
      </c>
      <c r="I81" t="s">
        <v>18</v>
      </c>
      <c r="J81" t="s">
        <v>37</v>
      </c>
      <c r="K81" s="1">
        <v>41754</v>
      </c>
      <c r="M81" s="1" t="str">
        <f>IF(ISBLANK(Data[[#This Row],[EndDate]]),"Active","InActive")</f>
        <v>Active</v>
      </c>
      <c r="N81" t="s">
        <v>20</v>
      </c>
      <c r="O81" t="s">
        <v>21</v>
      </c>
      <c r="P81" t="s">
        <v>40</v>
      </c>
      <c r="Q81" s="2">
        <v>3059</v>
      </c>
    </row>
    <row r="82" spans="1:17" x14ac:dyDescent="0.2">
      <c r="A82" s="1">
        <v>43435</v>
      </c>
      <c r="B82">
        <v>41104</v>
      </c>
      <c r="C82" t="s">
        <v>80</v>
      </c>
      <c r="D82" t="s">
        <v>41</v>
      </c>
      <c r="E82" t="s">
        <v>68</v>
      </c>
      <c r="F82" s="5">
        <v>19</v>
      </c>
      <c r="G82" t="str">
        <f>IF(Data[[#This Row],[Age]]&lt;25,"Under 25",IF(Data[[#This Row],[Age]]&lt;35,"25–34",IF(Data[[#This Row],[Age]]&lt;45,"35–44",IF(Data[[#This Row],[Age]]&lt;55,"45–54","55+"))))</f>
        <v>Under 25</v>
      </c>
      <c r="H82" t="s">
        <v>31</v>
      </c>
      <c r="I82" t="s">
        <v>18</v>
      </c>
      <c r="J82" t="s">
        <v>37</v>
      </c>
      <c r="K82" s="1">
        <v>41922</v>
      </c>
      <c r="M82" s="1" t="str">
        <f>IF(ISBLANK(Data[[#This Row],[EndDate]]),"Active","InActive")</f>
        <v>Active</v>
      </c>
      <c r="N82" t="s">
        <v>20</v>
      </c>
      <c r="O82" t="s">
        <v>21</v>
      </c>
      <c r="P82" t="s">
        <v>40</v>
      </c>
      <c r="Q82" s="2">
        <v>1890.5</v>
      </c>
    </row>
    <row r="83" spans="1:17" x14ac:dyDescent="0.2">
      <c r="A83" s="1">
        <v>43435</v>
      </c>
      <c r="B83">
        <v>43926</v>
      </c>
      <c r="C83" t="s">
        <v>79</v>
      </c>
      <c r="D83" t="s">
        <v>15</v>
      </c>
      <c r="E83" t="s">
        <v>70</v>
      </c>
      <c r="F83" s="5">
        <v>19</v>
      </c>
      <c r="G83" t="str">
        <f>IF(Data[[#This Row],[Age]]&lt;25,"Under 25",IF(Data[[#This Row],[Age]]&lt;35,"25–34",IF(Data[[#This Row],[Age]]&lt;45,"35–44",IF(Data[[#This Row],[Age]]&lt;55,"45–54","55+"))))</f>
        <v>Under 25</v>
      </c>
      <c r="H83" t="s">
        <v>46</v>
      </c>
      <c r="I83" t="s">
        <v>18</v>
      </c>
      <c r="J83" t="s">
        <v>37</v>
      </c>
      <c r="K83" s="1">
        <v>40820</v>
      </c>
      <c r="M83" s="1" t="str">
        <f>IF(ISBLANK(Data[[#This Row],[EndDate]]),"Active","InActive")</f>
        <v>Active</v>
      </c>
      <c r="N83" t="s">
        <v>20</v>
      </c>
      <c r="O83" t="s">
        <v>21</v>
      </c>
      <c r="P83" t="s">
        <v>40</v>
      </c>
      <c r="Q83" s="2">
        <v>6916</v>
      </c>
    </row>
    <row r="84" spans="1:17" x14ac:dyDescent="0.2">
      <c r="A84" s="1">
        <v>42705</v>
      </c>
      <c r="B84">
        <v>41512</v>
      </c>
      <c r="C84" t="s">
        <v>79</v>
      </c>
      <c r="D84" t="s">
        <v>15</v>
      </c>
      <c r="E84" t="s">
        <v>70</v>
      </c>
      <c r="F84" s="5">
        <v>19</v>
      </c>
      <c r="G84" t="str">
        <f>IF(Data[[#This Row],[Age]]&lt;25,"Under 25",IF(Data[[#This Row],[Age]]&lt;35,"25–34",IF(Data[[#This Row],[Age]]&lt;45,"35–44",IF(Data[[#This Row],[Age]]&lt;55,"45–54","55+"))))</f>
        <v>Under 25</v>
      </c>
      <c r="H84" t="s">
        <v>17</v>
      </c>
      <c r="I84" t="s">
        <v>18</v>
      </c>
      <c r="J84" t="s">
        <v>35</v>
      </c>
      <c r="K84" s="1">
        <v>41146</v>
      </c>
      <c r="M84" s="1" t="str">
        <f>IF(ISBLANK(Data[[#This Row],[EndDate]]),"Active","InActive")</f>
        <v>Active</v>
      </c>
      <c r="N84" t="s">
        <v>20</v>
      </c>
      <c r="O84" t="s">
        <v>21</v>
      </c>
      <c r="P84" t="s">
        <v>22</v>
      </c>
      <c r="Q84" s="2">
        <v>2612.5</v>
      </c>
    </row>
    <row r="85" spans="1:17" x14ac:dyDescent="0.2">
      <c r="A85" s="1">
        <v>42705</v>
      </c>
      <c r="B85">
        <v>42238</v>
      </c>
      <c r="C85" t="s">
        <v>79</v>
      </c>
      <c r="D85" t="s">
        <v>43</v>
      </c>
      <c r="E85" t="s">
        <v>44</v>
      </c>
      <c r="F85" s="5">
        <v>19</v>
      </c>
      <c r="G85" t="str">
        <f>IF(Data[[#This Row],[Age]]&lt;25,"Under 25",IF(Data[[#This Row],[Age]]&lt;35,"25–34",IF(Data[[#This Row],[Age]]&lt;45,"35–44",IF(Data[[#This Row],[Age]]&lt;55,"45–54","55+"))))</f>
        <v>Under 25</v>
      </c>
      <c r="H85" t="s">
        <v>46</v>
      </c>
      <c r="I85" t="s">
        <v>18</v>
      </c>
      <c r="J85" t="s">
        <v>35</v>
      </c>
      <c r="K85" s="1">
        <v>41202</v>
      </c>
      <c r="M85" s="1" t="str">
        <f>IF(ISBLANK(Data[[#This Row],[EndDate]]),"Active","InActive")</f>
        <v>Active</v>
      </c>
      <c r="N85" t="s">
        <v>20</v>
      </c>
      <c r="O85" t="s">
        <v>21</v>
      </c>
      <c r="P85" t="s">
        <v>22</v>
      </c>
      <c r="Q85" s="2">
        <v>6745</v>
      </c>
    </row>
    <row r="86" spans="1:17" x14ac:dyDescent="0.2">
      <c r="A86" s="1">
        <v>42705</v>
      </c>
      <c r="B86">
        <v>54564</v>
      </c>
      <c r="C86" t="s">
        <v>80</v>
      </c>
      <c r="D86" t="s">
        <v>29</v>
      </c>
      <c r="E86" t="s">
        <v>30</v>
      </c>
      <c r="F86" s="5">
        <v>19</v>
      </c>
      <c r="G86" t="str">
        <f>IF(Data[[#This Row],[Age]]&lt;25,"Under 25",IF(Data[[#This Row],[Age]]&lt;35,"25–34",IF(Data[[#This Row],[Age]]&lt;45,"35–44",IF(Data[[#This Row],[Age]]&lt;55,"45–54","55+"))))</f>
        <v>Under 25</v>
      </c>
      <c r="H86" t="s">
        <v>46</v>
      </c>
      <c r="I86" t="s">
        <v>18</v>
      </c>
      <c r="J86" t="s">
        <v>35</v>
      </c>
      <c r="K86" s="1">
        <v>41154</v>
      </c>
      <c r="M86" s="1" t="str">
        <f>IF(ISBLANK(Data[[#This Row],[EndDate]]),"Active","InActive")</f>
        <v>Active</v>
      </c>
      <c r="N86" t="s">
        <v>20</v>
      </c>
      <c r="O86" t="s">
        <v>21</v>
      </c>
      <c r="P86" t="s">
        <v>22</v>
      </c>
      <c r="Q86" s="2">
        <v>1738.5</v>
      </c>
    </row>
    <row r="87" spans="1:17" x14ac:dyDescent="0.2">
      <c r="A87" s="1">
        <v>42705</v>
      </c>
      <c r="B87">
        <v>54614</v>
      </c>
      <c r="C87" t="s">
        <v>80</v>
      </c>
      <c r="D87" t="s">
        <v>47</v>
      </c>
      <c r="E87" t="s">
        <v>48</v>
      </c>
      <c r="F87" s="5">
        <v>19</v>
      </c>
      <c r="G87" t="str">
        <f>IF(Data[[#This Row],[Age]]&lt;25,"Under 25",IF(Data[[#This Row],[Age]]&lt;35,"25–34",IF(Data[[#This Row],[Age]]&lt;45,"35–44",IF(Data[[#This Row],[Age]]&lt;55,"45–54","55+"))))</f>
        <v>Under 25</v>
      </c>
      <c r="H87" t="s">
        <v>31</v>
      </c>
      <c r="I87" t="s">
        <v>18</v>
      </c>
      <c r="J87" t="s">
        <v>35</v>
      </c>
      <c r="K87" s="1">
        <v>41207</v>
      </c>
      <c r="M87" s="1" t="str">
        <f>IF(ISBLANK(Data[[#This Row],[EndDate]]),"Active","InActive")</f>
        <v>Active</v>
      </c>
      <c r="N87" t="s">
        <v>20</v>
      </c>
      <c r="O87" t="s">
        <v>21</v>
      </c>
      <c r="P87" t="s">
        <v>22</v>
      </c>
      <c r="Q87" s="2">
        <v>4626.5</v>
      </c>
    </row>
    <row r="88" spans="1:17" x14ac:dyDescent="0.2">
      <c r="A88" s="1">
        <v>42705</v>
      </c>
      <c r="B88">
        <v>55666</v>
      </c>
      <c r="C88" t="s">
        <v>80</v>
      </c>
      <c r="D88" t="s">
        <v>38</v>
      </c>
      <c r="E88" t="s">
        <v>61</v>
      </c>
      <c r="F88" s="5">
        <v>19</v>
      </c>
      <c r="G88" t="str">
        <f>IF(Data[[#This Row],[Age]]&lt;25,"Under 25",IF(Data[[#This Row],[Age]]&lt;35,"25–34",IF(Data[[#This Row],[Age]]&lt;45,"35–44",IF(Data[[#This Row],[Age]]&lt;55,"45–54","55+"))))</f>
        <v>Under 25</v>
      </c>
      <c r="H88" t="s">
        <v>31</v>
      </c>
      <c r="I88" t="s">
        <v>18</v>
      </c>
      <c r="J88" t="s">
        <v>35</v>
      </c>
      <c r="K88" s="1">
        <v>40737</v>
      </c>
      <c r="M88" s="1" t="str">
        <f>IF(ISBLANK(Data[[#This Row],[EndDate]]),"Active","InActive")</f>
        <v>Active</v>
      </c>
      <c r="N88" t="s">
        <v>20</v>
      </c>
      <c r="O88" t="s">
        <v>21</v>
      </c>
      <c r="P88" t="s">
        <v>22</v>
      </c>
      <c r="Q88" s="2">
        <v>3135</v>
      </c>
    </row>
    <row r="89" spans="1:17" x14ac:dyDescent="0.2">
      <c r="A89" s="1">
        <v>42705</v>
      </c>
      <c r="B89">
        <v>100922</v>
      </c>
      <c r="C89" t="s">
        <v>79</v>
      </c>
      <c r="D89" t="s">
        <v>43</v>
      </c>
      <c r="E89" t="s">
        <v>60</v>
      </c>
      <c r="F89" s="5">
        <v>19</v>
      </c>
      <c r="G89" t="str">
        <f>IF(Data[[#This Row],[Age]]&lt;25,"Under 25",IF(Data[[#This Row],[Age]]&lt;35,"25–34",IF(Data[[#This Row],[Age]]&lt;45,"35–44",IF(Data[[#This Row],[Age]]&lt;55,"45–54","55+"))))</f>
        <v>Under 25</v>
      </c>
      <c r="H89" t="s">
        <v>46</v>
      </c>
      <c r="I89" t="s">
        <v>18</v>
      </c>
      <c r="J89" t="s">
        <v>35</v>
      </c>
      <c r="K89" s="1">
        <v>41165</v>
      </c>
      <c r="L89" s="1">
        <v>41200</v>
      </c>
      <c r="M89" s="1" t="str">
        <f>IF(ISBLANK(Data[[#This Row],[EndDate]]),"Active","InActive")</f>
        <v>InActive</v>
      </c>
      <c r="N89" t="s">
        <v>20</v>
      </c>
      <c r="O89" t="s">
        <v>21</v>
      </c>
      <c r="P89" t="s">
        <v>22</v>
      </c>
      <c r="Q89" s="2">
        <v>5519.5</v>
      </c>
    </row>
    <row r="90" spans="1:17" x14ac:dyDescent="0.2">
      <c r="A90" s="1">
        <v>42705</v>
      </c>
      <c r="B90">
        <v>114214</v>
      </c>
      <c r="C90" t="s">
        <v>80</v>
      </c>
      <c r="D90" t="s">
        <v>38</v>
      </c>
      <c r="E90" t="s">
        <v>39</v>
      </c>
      <c r="F90" s="5">
        <v>19</v>
      </c>
      <c r="G90" t="str">
        <f>IF(Data[[#This Row],[Age]]&lt;25,"Under 25",IF(Data[[#This Row],[Age]]&lt;35,"25–34",IF(Data[[#This Row],[Age]]&lt;45,"35–44",IF(Data[[#This Row],[Age]]&lt;55,"45–54","55+"))))</f>
        <v>Under 25</v>
      </c>
      <c r="H90" t="s">
        <v>49</v>
      </c>
      <c r="I90" t="s">
        <v>18</v>
      </c>
      <c r="J90" t="s">
        <v>35</v>
      </c>
      <c r="K90" s="1">
        <v>41187</v>
      </c>
      <c r="M90" s="1" t="str">
        <f>IF(ISBLANK(Data[[#This Row],[EndDate]]),"Active","InActive")</f>
        <v>Active</v>
      </c>
      <c r="N90" t="s">
        <v>20</v>
      </c>
      <c r="O90" t="s">
        <v>21</v>
      </c>
      <c r="P90" t="s">
        <v>22</v>
      </c>
      <c r="Q90" s="2">
        <v>1795.5</v>
      </c>
    </row>
    <row r="91" spans="1:17" x14ac:dyDescent="0.2">
      <c r="A91" s="1">
        <v>42705</v>
      </c>
      <c r="B91">
        <v>118466</v>
      </c>
      <c r="C91" t="s">
        <v>80</v>
      </c>
      <c r="D91" t="s">
        <v>38</v>
      </c>
      <c r="E91" t="s">
        <v>45</v>
      </c>
      <c r="F91" s="5">
        <v>19</v>
      </c>
      <c r="G91" t="str">
        <f>IF(Data[[#This Row],[Age]]&lt;25,"Under 25",IF(Data[[#This Row],[Age]]&lt;35,"25–34",IF(Data[[#This Row],[Age]]&lt;45,"35–44",IF(Data[[#This Row],[Age]]&lt;55,"45–54","55+"))))</f>
        <v>Under 25</v>
      </c>
      <c r="H91" t="s">
        <v>34</v>
      </c>
      <c r="I91" t="s">
        <v>18</v>
      </c>
      <c r="J91" t="s">
        <v>35</v>
      </c>
      <c r="K91" s="1">
        <v>41172</v>
      </c>
      <c r="M91" s="1" t="str">
        <f>IF(ISBLANK(Data[[#This Row],[EndDate]]),"Active","InActive")</f>
        <v>Active</v>
      </c>
      <c r="N91" t="s">
        <v>20</v>
      </c>
      <c r="O91" t="s">
        <v>21</v>
      </c>
      <c r="P91" t="s">
        <v>22</v>
      </c>
      <c r="Q91" s="2">
        <v>5415</v>
      </c>
    </row>
    <row r="92" spans="1:17" x14ac:dyDescent="0.2">
      <c r="A92" s="1">
        <v>43070</v>
      </c>
      <c r="B92">
        <v>10854</v>
      </c>
      <c r="C92" t="s">
        <v>79</v>
      </c>
      <c r="D92" t="s">
        <v>52</v>
      </c>
      <c r="E92" t="s">
        <v>67</v>
      </c>
      <c r="F92" s="5">
        <v>19</v>
      </c>
      <c r="G92" t="str">
        <f>IF(Data[[#This Row],[Age]]&lt;25,"Under 25",IF(Data[[#This Row],[Age]]&lt;35,"25–34",IF(Data[[#This Row],[Age]]&lt;45,"35–44",IF(Data[[#This Row],[Age]]&lt;55,"45–54","55+"))))</f>
        <v>Under 25</v>
      </c>
      <c r="H92" t="s">
        <v>17</v>
      </c>
      <c r="I92" t="s">
        <v>18</v>
      </c>
      <c r="J92" t="s">
        <v>35</v>
      </c>
      <c r="K92" s="1">
        <v>41578</v>
      </c>
      <c r="M92" s="1" t="str">
        <f>IF(ISBLANK(Data[[#This Row],[EndDate]]),"Active","InActive")</f>
        <v>Active</v>
      </c>
      <c r="N92" t="s">
        <v>20</v>
      </c>
      <c r="O92" t="s">
        <v>21</v>
      </c>
      <c r="P92" t="s">
        <v>32</v>
      </c>
      <c r="Q92" s="2">
        <v>4170.5</v>
      </c>
    </row>
    <row r="93" spans="1:17" x14ac:dyDescent="0.2">
      <c r="A93" s="1">
        <v>43070</v>
      </c>
      <c r="B93">
        <v>33132</v>
      </c>
      <c r="C93" t="s">
        <v>80</v>
      </c>
      <c r="D93" t="s">
        <v>15</v>
      </c>
      <c r="E93" t="s">
        <v>58</v>
      </c>
      <c r="F93" s="5">
        <v>19</v>
      </c>
      <c r="G93" t="str">
        <f>IF(Data[[#This Row],[Age]]&lt;25,"Under 25",IF(Data[[#This Row],[Age]]&lt;35,"25–34",IF(Data[[#This Row],[Age]]&lt;45,"35–44",IF(Data[[#This Row],[Age]]&lt;55,"45–54","55+"))))</f>
        <v>Under 25</v>
      </c>
      <c r="H93" t="s">
        <v>49</v>
      </c>
      <c r="I93" t="s">
        <v>18</v>
      </c>
      <c r="J93" t="s">
        <v>35</v>
      </c>
      <c r="K93" s="1">
        <v>41069</v>
      </c>
      <c r="M93" s="1" t="str">
        <f>IF(ISBLANK(Data[[#This Row],[EndDate]]),"Active","InActive")</f>
        <v>Active</v>
      </c>
      <c r="N93" t="s">
        <v>20</v>
      </c>
      <c r="O93" t="s">
        <v>21</v>
      </c>
      <c r="P93" t="s">
        <v>32</v>
      </c>
      <c r="Q93" s="2">
        <v>2356</v>
      </c>
    </row>
    <row r="94" spans="1:17" x14ac:dyDescent="0.2">
      <c r="A94" s="1">
        <v>43070</v>
      </c>
      <c r="B94">
        <v>41420</v>
      </c>
      <c r="C94" t="s">
        <v>80</v>
      </c>
      <c r="D94" t="s">
        <v>15</v>
      </c>
      <c r="E94" t="s">
        <v>70</v>
      </c>
      <c r="F94" s="5">
        <v>19</v>
      </c>
      <c r="G94" t="str">
        <f>IF(Data[[#This Row],[Age]]&lt;25,"Under 25",IF(Data[[#This Row],[Age]]&lt;35,"25–34",IF(Data[[#This Row],[Age]]&lt;45,"35–44",IF(Data[[#This Row],[Age]]&lt;55,"45–54","55+"))))</f>
        <v>Under 25</v>
      </c>
      <c r="H94" t="s">
        <v>59</v>
      </c>
      <c r="I94" t="s">
        <v>18</v>
      </c>
      <c r="J94" t="s">
        <v>35</v>
      </c>
      <c r="K94" s="1">
        <v>41382</v>
      </c>
      <c r="M94" s="1" t="str">
        <f>IF(ISBLANK(Data[[#This Row],[EndDate]]),"Active","InActive")</f>
        <v>Active</v>
      </c>
      <c r="N94" t="s">
        <v>20</v>
      </c>
      <c r="O94" t="s">
        <v>21</v>
      </c>
      <c r="P94" t="s">
        <v>32</v>
      </c>
      <c r="Q94" s="2">
        <v>1178</v>
      </c>
    </row>
    <row r="95" spans="1:17" x14ac:dyDescent="0.2">
      <c r="A95" s="1">
        <v>43070</v>
      </c>
      <c r="B95">
        <v>42896</v>
      </c>
      <c r="C95" t="s">
        <v>80</v>
      </c>
      <c r="D95" t="s">
        <v>41</v>
      </c>
      <c r="E95" t="s">
        <v>62</v>
      </c>
      <c r="F95" s="5">
        <v>19</v>
      </c>
      <c r="G95" t="str">
        <f>IF(Data[[#This Row],[Age]]&lt;25,"Under 25",IF(Data[[#This Row],[Age]]&lt;35,"25–34",IF(Data[[#This Row],[Age]]&lt;45,"35–44",IF(Data[[#This Row],[Age]]&lt;55,"45–54","55+"))))</f>
        <v>Under 25</v>
      </c>
      <c r="H95" t="s">
        <v>46</v>
      </c>
      <c r="I95" t="s">
        <v>18</v>
      </c>
      <c r="J95" t="s">
        <v>35</v>
      </c>
      <c r="K95" s="1">
        <v>41500</v>
      </c>
      <c r="M95" s="1" t="str">
        <f>IF(ISBLANK(Data[[#This Row],[EndDate]]),"Active","InActive")</f>
        <v>Active</v>
      </c>
      <c r="N95" t="s">
        <v>20</v>
      </c>
      <c r="O95" t="s">
        <v>21</v>
      </c>
      <c r="P95" t="s">
        <v>32</v>
      </c>
      <c r="Q95" s="2">
        <v>8379</v>
      </c>
    </row>
    <row r="96" spans="1:17" x14ac:dyDescent="0.2">
      <c r="A96" s="1">
        <v>43070</v>
      </c>
      <c r="B96">
        <v>43134</v>
      </c>
      <c r="C96" t="s">
        <v>79</v>
      </c>
      <c r="D96" t="s">
        <v>15</v>
      </c>
      <c r="E96" t="s">
        <v>70</v>
      </c>
      <c r="F96" s="5">
        <v>19</v>
      </c>
      <c r="G96" t="str">
        <f>IF(Data[[#This Row],[Age]]&lt;25,"Under 25",IF(Data[[#This Row],[Age]]&lt;35,"25–34",IF(Data[[#This Row],[Age]]&lt;45,"35–44",IF(Data[[#This Row],[Age]]&lt;55,"45–54","55+"))))</f>
        <v>Under 25</v>
      </c>
      <c r="H96" t="s">
        <v>34</v>
      </c>
      <c r="I96" t="s">
        <v>18</v>
      </c>
      <c r="J96" t="s">
        <v>35</v>
      </c>
      <c r="K96" s="1">
        <v>41486</v>
      </c>
      <c r="M96" s="1" t="str">
        <f>IF(ISBLANK(Data[[#This Row],[EndDate]]),"Active","InActive")</f>
        <v>Active</v>
      </c>
      <c r="N96" t="s">
        <v>20</v>
      </c>
      <c r="O96" t="s">
        <v>21</v>
      </c>
      <c r="P96" t="s">
        <v>32</v>
      </c>
      <c r="Q96" s="2">
        <v>7638</v>
      </c>
    </row>
    <row r="97" spans="1:17" x14ac:dyDescent="0.2">
      <c r="A97" s="1">
        <v>43435</v>
      </c>
      <c r="B97">
        <v>41396</v>
      </c>
      <c r="C97" t="s">
        <v>79</v>
      </c>
      <c r="D97" t="s">
        <v>52</v>
      </c>
      <c r="E97" t="s">
        <v>69</v>
      </c>
      <c r="F97" s="5">
        <v>19</v>
      </c>
      <c r="G97" t="str">
        <f>IF(Data[[#This Row],[Age]]&lt;25,"Under 25",IF(Data[[#This Row],[Age]]&lt;35,"25–34",IF(Data[[#This Row],[Age]]&lt;45,"35–44",IF(Data[[#This Row],[Age]]&lt;55,"45–54","55+"))))</f>
        <v>Under 25</v>
      </c>
      <c r="H97" t="s">
        <v>59</v>
      </c>
      <c r="I97" t="s">
        <v>18</v>
      </c>
      <c r="J97" t="s">
        <v>35</v>
      </c>
      <c r="K97" s="1">
        <v>41391</v>
      </c>
      <c r="M97" s="1" t="str">
        <f>IF(ISBLANK(Data[[#This Row],[EndDate]]),"Active","InActive")</f>
        <v>Active</v>
      </c>
      <c r="N97" t="s">
        <v>20</v>
      </c>
      <c r="O97" t="s">
        <v>21</v>
      </c>
      <c r="P97" t="s">
        <v>40</v>
      </c>
      <c r="Q97" s="2">
        <v>8417</v>
      </c>
    </row>
    <row r="98" spans="1:17" x14ac:dyDescent="0.2">
      <c r="A98" s="1">
        <v>43435</v>
      </c>
      <c r="B98">
        <v>42114</v>
      </c>
      <c r="C98" t="s">
        <v>79</v>
      </c>
      <c r="D98" t="s">
        <v>50</v>
      </c>
      <c r="E98" t="s">
        <v>51</v>
      </c>
      <c r="F98" s="5">
        <v>19</v>
      </c>
      <c r="G98" t="str">
        <f>IF(Data[[#This Row],[Age]]&lt;25,"Under 25",IF(Data[[#This Row],[Age]]&lt;35,"25–34",IF(Data[[#This Row],[Age]]&lt;45,"35–44",IF(Data[[#This Row],[Age]]&lt;55,"45–54","55+"))))</f>
        <v>Under 25</v>
      </c>
      <c r="H98" t="s">
        <v>49</v>
      </c>
      <c r="I98" t="s">
        <v>18</v>
      </c>
      <c r="J98" t="s">
        <v>35</v>
      </c>
      <c r="K98" s="1">
        <v>41908</v>
      </c>
      <c r="M98" s="1" t="str">
        <f>IF(ISBLANK(Data[[#This Row],[EndDate]]),"Active","InActive")</f>
        <v>Active</v>
      </c>
      <c r="N98" t="s">
        <v>20</v>
      </c>
      <c r="O98" t="s">
        <v>21</v>
      </c>
      <c r="P98" t="s">
        <v>40</v>
      </c>
      <c r="Q98" s="2">
        <v>3714.5</v>
      </c>
    </row>
    <row r="99" spans="1:17" x14ac:dyDescent="0.2">
      <c r="A99" s="1">
        <v>43435</v>
      </c>
      <c r="B99">
        <v>42118</v>
      </c>
      <c r="C99" t="s">
        <v>79</v>
      </c>
      <c r="D99" t="s">
        <v>15</v>
      </c>
      <c r="E99" t="s">
        <v>16</v>
      </c>
      <c r="F99" s="5">
        <v>19</v>
      </c>
      <c r="G99" t="str">
        <f>IF(Data[[#This Row],[Age]]&lt;25,"Under 25",IF(Data[[#This Row],[Age]]&lt;35,"25–34",IF(Data[[#This Row],[Age]]&lt;45,"35–44",IF(Data[[#This Row],[Age]]&lt;55,"45–54","55+"))))</f>
        <v>Under 25</v>
      </c>
      <c r="H99" t="s">
        <v>46</v>
      </c>
      <c r="I99" t="s">
        <v>18</v>
      </c>
      <c r="J99" t="s">
        <v>35</v>
      </c>
      <c r="K99" s="1">
        <v>41803</v>
      </c>
      <c r="M99" s="1" t="str">
        <f>IF(ISBLANK(Data[[#This Row],[EndDate]]),"Active","InActive")</f>
        <v>Active</v>
      </c>
      <c r="N99" t="s">
        <v>20</v>
      </c>
      <c r="O99" t="s">
        <v>21</v>
      </c>
      <c r="P99" t="s">
        <v>40</v>
      </c>
      <c r="Q99" s="2">
        <v>1358.5</v>
      </c>
    </row>
    <row r="100" spans="1:17" x14ac:dyDescent="0.2">
      <c r="A100" s="1">
        <v>43435</v>
      </c>
      <c r="B100">
        <v>42480</v>
      </c>
      <c r="C100" t="s">
        <v>80</v>
      </c>
      <c r="D100" t="s">
        <v>50</v>
      </c>
      <c r="E100" t="s">
        <v>55</v>
      </c>
      <c r="F100" s="5">
        <v>19</v>
      </c>
      <c r="G100" t="str">
        <f>IF(Data[[#This Row],[Age]]&lt;25,"Under 25",IF(Data[[#This Row],[Age]]&lt;35,"25–34",IF(Data[[#This Row],[Age]]&lt;45,"35–44",IF(Data[[#This Row],[Age]]&lt;55,"45–54","55+"))))</f>
        <v>Under 25</v>
      </c>
      <c r="H100" t="s">
        <v>59</v>
      </c>
      <c r="I100" t="s">
        <v>18</v>
      </c>
      <c r="J100" t="s">
        <v>35</v>
      </c>
      <c r="K100" s="1">
        <v>41791</v>
      </c>
      <c r="M100" s="1" t="str">
        <f>IF(ISBLANK(Data[[#This Row],[EndDate]]),"Active","InActive")</f>
        <v>Active</v>
      </c>
      <c r="N100" t="s">
        <v>20</v>
      </c>
      <c r="O100" t="s">
        <v>21</v>
      </c>
      <c r="P100" t="s">
        <v>40</v>
      </c>
      <c r="Q100" s="2">
        <v>5415</v>
      </c>
    </row>
    <row r="101" spans="1:17" x14ac:dyDescent="0.2">
      <c r="A101" s="1">
        <v>43435</v>
      </c>
      <c r="B101">
        <v>43154</v>
      </c>
      <c r="C101" t="s">
        <v>80</v>
      </c>
      <c r="D101" t="s">
        <v>38</v>
      </c>
      <c r="E101" t="s">
        <v>39</v>
      </c>
      <c r="F101" s="5">
        <v>19</v>
      </c>
      <c r="G101" t="str">
        <f>IF(Data[[#This Row],[Age]]&lt;25,"Under 25",IF(Data[[#This Row],[Age]]&lt;35,"25–34",IF(Data[[#This Row],[Age]]&lt;45,"35–44",IF(Data[[#This Row],[Age]]&lt;55,"45–54","55+"))))</f>
        <v>Under 25</v>
      </c>
      <c r="H101" t="s">
        <v>17</v>
      </c>
      <c r="I101" t="s">
        <v>18</v>
      </c>
      <c r="J101" t="s">
        <v>35</v>
      </c>
      <c r="K101" s="1">
        <v>41901</v>
      </c>
      <c r="M101" s="1" t="str">
        <f>IF(ISBLANK(Data[[#This Row],[EndDate]]),"Active","InActive")</f>
        <v>Active</v>
      </c>
      <c r="N101" t="s">
        <v>20</v>
      </c>
      <c r="O101" t="s">
        <v>21</v>
      </c>
      <c r="P101" t="s">
        <v>40</v>
      </c>
      <c r="Q101" s="2">
        <v>4531.5</v>
      </c>
    </row>
    <row r="102" spans="1:17" x14ac:dyDescent="0.2">
      <c r="A102" s="1">
        <v>43435</v>
      </c>
      <c r="B102">
        <v>53238</v>
      </c>
      <c r="C102" t="s">
        <v>79</v>
      </c>
      <c r="D102" t="s">
        <v>50</v>
      </c>
      <c r="E102" t="s">
        <v>63</v>
      </c>
      <c r="F102" s="5">
        <v>19</v>
      </c>
      <c r="G102" t="str">
        <f>IF(Data[[#This Row],[Age]]&lt;25,"Under 25",IF(Data[[#This Row],[Age]]&lt;35,"25–34",IF(Data[[#This Row],[Age]]&lt;45,"35–44",IF(Data[[#This Row],[Age]]&lt;55,"45–54","55+"))))</f>
        <v>Under 25</v>
      </c>
      <c r="H102" t="s">
        <v>31</v>
      </c>
      <c r="I102" t="s">
        <v>18</v>
      </c>
      <c r="J102" t="s">
        <v>35</v>
      </c>
      <c r="K102" s="1">
        <v>41767</v>
      </c>
      <c r="M102" s="1" t="str">
        <f>IF(ISBLANK(Data[[#This Row],[EndDate]]),"Active","InActive")</f>
        <v>Active</v>
      </c>
      <c r="N102" t="s">
        <v>20</v>
      </c>
      <c r="O102" t="s">
        <v>21</v>
      </c>
      <c r="P102" t="s">
        <v>40</v>
      </c>
      <c r="Q102" s="2">
        <v>7229.5</v>
      </c>
    </row>
    <row r="103" spans="1:17" x14ac:dyDescent="0.2">
      <c r="A103" s="1">
        <v>42705</v>
      </c>
      <c r="B103">
        <v>100652</v>
      </c>
      <c r="C103" t="s">
        <v>79</v>
      </c>
      <c r="D103" t="s">
        <v>41</v>
      </c>
      <c r="E103" t="s">
        <v>68</v>
      </c>
      <c r="F103" s="5">
        <v>19</v>
      </c>
      <c r="G103" t="str">
        <f>IF(Data[[#This Row],[Age]]&lt;25,"Under 25",IF(Data[[#This Row],[Age]]&lt;35,"25–34",IF(Data[[#This Row],[Age]]&lt;45,"35–44",IF(Data[[#This Row],[Age]]&lt;55,"45–54","55+"))))</f>
        <v>Under 25</v>
      </c>
      <c r="H103" t="s">
        <v>17</v>
      </c>
      <c r="I103" t="s">
        <v>18</v>
      </c>
      <c r="J103" t="s">
        <v>37</v>
      </c>
      <c r="K103" s="1">
        <v>41033</v>
      </c>
      <c r="M103" s="1" t="str">
        <f>IF(ISBLANK(Data[[#This Row],[EndDate]]),"Active","InActive")</f>
        <v>Active</v>
      </c>
      <c r="N103" t="s">
        <v>20</v>
      </c>
      <c r="O103" t="s">
        <v>21</v>
      </c>
      <c r="P103" t="s">
        <v>22</v>
      </c>
      <c r="Q103" s="2">
        <v>5472</v>
      </c>
    </row>
    <row r="104" spans="1:17" x14ac:dyDescent="0.2">
      <c r="A104" s="1">
        <v>42705</v>
      </c>
      <c r="B104">
        <v>105538</v>
      </c>
      <c r="C104" t="s">
        <v>80</v>
      </c>
      <c r="D104" t="s">
        <v>27</v>
      </c>
      <c r="E104" t="s">
        <v>28</v>
      </c>
      <c r="F104" s="5">
        <v>19</v>
      </c>
      <c r="G104" t="str">
        <f>IF(Data[[#This Row],[Age]]&lt;25,"Under 25",IF(Data[[#This Row],[Age]]&lt;35,"25–34",IF(Data[[#This Row],[Age]]&lt;45,"35–44",IF(Data[[#This Row],[Age]]&lt;55,"45–54","55+"))))</f>
        <v>Under 25</v>
      </c>
      <c r="H104" t="s">
        <v>46</v>
      </c>
      <c r="I104" t="s">
        <v>18</v>
      </c>
      <c r="J104" t="s">
        <v>37</v>
      </c>
      <c r="K104" s="1">
        <v>40934</v>
      </c>
      <c r="M104" s="1" t="str">
        <f>IF(ISBLANK(Data[[#This Row],[EndDate]]),"Active","InActive")</f>
        <v>Active</v>
      </c>
      <c r="N104" t="s">
        <v>20</v>
      </c>
      <c r="O104" t="s">
        <v>21</v>
      </c>
      <c r="P104" t="s">
        <v>22</v>
      </c>
      <c r="Q104" s="2">
        <v>6384</v>
      </c>
    </row>
    <row r="105" spans="1:17" x14ac:dyDescent="0.2">
      <c r="A105" s="1">
        <v>42705</v>
      </c>
      <c r="B105">
        <v>115148</v>
      </c>
      <c r="C105" t="s">
        <v>80</v>
      </c>
      <c r="D105" t="s">
        <v>47</v>
      </c>
      <c r="E105" t="s">
        <v>64</v>
      </c>
      <c r="F105" s="5">
        <v>19</v>
      </c>
      <c r="G105" t="str">
        <f>IF(Data[[#This Row],[Age]]&lt;25,"Under 25",IF(Data[[#This Row],[Age]]&lt;35,"25–34",IF(Data[[#This Row],[Age]]&lt;45,"35–44",IF(Data[[#This Row],[Age]]&lt;55,"45–54","55+"))))</f>
        <v>Under 25</v>
      </c>
      <c r="H105" t="s">
        <v>59</v>
      </c>
      <c r="I105" t="s">
        <v>18</v>
      </c>
      <c r="J105" t="s">
        <v>37</v>
      </c>
      <c r="K105" s="1">
        <v>41003</v>
      </c>
      <c r="M105" s="1" t="str">
        <f>IF(ISBLANK(Data[[#This Row],[EndDate]]),"Active","InActive")</f>
        <v>Active</v>
      </c>
      <c r="N105" t="s">
        <v>20</v>
      </c>
      <c r="O105" t="s">
        <v>21</v>
      </c>
      <c r="P105" t="s">
        <v>22</v>
      </c>
      <c r="Q105" s="2">
        <v>6982.5</v>
      </c>
    </row>
    <row r="106" spans="1:17" x14ac:dyDescent="0.2">
      <c r="A106" s="1">
        <v>42705</v>
      </c>
      <c r="B106">
        <v>123164</v>
      </c>
      <c r="C106" t="s">
        <v>80</v>
      </c>
      <c r="D106" t="s">
        <v>47</v>
      </c>
      <c r="E106" t="s">
        <v>73</v>
      </c>
      <c r="F106" s="5">
        <v>19</v>
      </c>
      <c r="G106" t="str">
        <f>IF(Data[[#This Row],[Age]]&lt;25,"Under 25",IF(Data[[#This Row],[Age]]&lt;35,"25–34",IF(Data[[#This Row],[Age]]&lt;45,"35–44",IF(Data[[#This Row],[Age]]&lt;55,"45–54","55+"))))</f>
        <v>Under 25</v>
      </c>
      <c r="H106" t="s">
        <v>34</v>
      </c>
      <c r="I106" t="s">
        <v>18</v>
      </c>
      <c r="J106" t="s">
        <v>37</v>
      </c>
      <c r="K106" s="1">
        <v>40819</v>
      </c>
      <c r="M106" s="1" t="str">
        <f>IF(ISBLANK(Data[[#This Row],[EndDate]]),"Active","InActive")</f>
        <v>Active</v>
      </c>
      <c r="N106" t="s">
        <v>20</v>
      </c>
      <c r="O106" t="s">
        <v>21</v>
      </c>
      <c r="P106" t="s">
        <v>22</v>
      </c>
      <c r="Q106" s="2">
        <v>6089.5</v>
      </c>
    </row>
    <row r="107" spans="1:17" x14ac:dyDescent="0.2">
      <c r="A107" s="1">
        <v>43070</v>
      </c>
      <c r="B107">
        <v>25892</v>
      </c>
      <c r="C107" t="s">
        <v>79</v>
      </c>
      <c r="D107" t="s">
        <v>38</v>
      </c>
      <c r="E107" t="s">
        <v>61</v>
      </c>
      <c r="F107" s="5">
        <v>19</v>
      </c>
      <c r="G107" t="str">
        <f>IF(Data[[#This Row],[Age]]&lt;25,"Under 25",IF(Data[[#This Row],[Age]]&lt;35,"25–34",IF(Data[[#This Row],[Age]]&lt;45,"35–44",IF(Data[[#This Row],[Age]]&lt;55,"45–54","55+"))))</f>
        <v>Under 25</v>
      </c>
      <c r="H107" t="s">
        <v>25</v>
      </c>
      <c r="I107" t="s">
        <v>18</v>
      </c>
      <c r="J107" t="s">
        <v>37</v>
      </c>
      <c r="K107" s="1">
        <v>41089</v>
      </c>
      <c r="M107" s="1" t="str">
        <f>IF(ISBLANK(Data[[#This Row],[EndDate]]),"Active","InActive")</f>
        <v>Active</v>
      </c>
      <c r="N107" t="s">
        <v>20</v>
      </c>
      <c r="O107" t="s">
        <v>21</v>
      </c>
      <c r="P107" t="s">
        <v>32</v>
      </c>
      <c r="Q107" s="2">
        <v>1007</v>
      </c>
    </row>
    <row r="108" spans="1:17" x14ac:dyDescent="0.2">
      <c r="A108" s="1">
        <v>43070</v>
      </c>
      <c r="B108">
        <v>25898</v>
      </c>
      <c r="C108" t="s">
        <v>79</v>
      </c>
      <c r="D108" t="s">
        <v>52</v>
      </c>
      <c r="E108" t="s">
        <v>69</v>
      </c>
      <c r="F108" s="5">
        <v>19</v>
      </c>
      <c r="G108" t="str">
        <f>IF(Data[[#This Row],[Age]]&lt;25,"Under 25",IF(Data[[#This Row],[Age]]&lt;35,"25–34",IF(Data[[#This Row],[Age]]&lt;45,"35–44",IF(Data[[#This Row],[Age]]&lt;55,"45–54","55+"))))</f>
        <v>Under 25</v>
      </c>
      <c r="H108" t="s">
        <v>17</v>
      </c>
      <c r="I108" t="s">
        <v>18</v>
      </c>
      <c r="J108" t="s">
        <v>37</v>
      </c>
      <c r="K108" s="1">
        <v>41516</v>
      </c>
      <c r="M108" s="1" t="str">
        <f>IF(ISBLANK(Data[[#This Row],[EndDate]]),"Active","InActive")</f>
        <v>Active</v>
      </c>
      <c r="N108" t="s">
        <v>20</v>
      </c>
      <c r="O108" t="s">
        <v>21</v>
      </c>
      <c r="P108" t="s">
        <v>32</v>
      </c>
      <c r="Q108" s="2">
        <v>2479.5</v>
      </c>
    </row>
    <row r="109" spans="1:17" x14ac:dyDescent="0.2">
      <c r="A109" s="1">
        <v>43070</v>
      </c>
      <c r="B109">
        <v>50854</v>
      </c>
      <c r="C109" t="s">
        <v>80</v>
      </c>
      <c r="D109" t="s">
        <v>41</v>
      </c>
      <c r="E109" t="s">
        <v>42</v>
      </c>
      <c r="F109" s="5">
        <v>19</v>
      </c>
      <c r="G109" t="str">
        <f>IF(Data[[#This Row],[Age]]&lt;25,"Under 25",IF(Data[[#This Row],[Age]]&lt;35,"25–34",IF(Data[[#This Row],[Age]]&lt;45,"35–44",IF(Data[[#This Row],[Age]]&lt;55,"45–54","55+"))))</f>
        <v>Under 25</v>
      </c>
      <c r="H109" t="s">
        <v>25</v>
      </c>
      <c r="I109" t="s">
        <v>18</v>
      </c>
      <c r="J109" t="s">
        <v>37</v>
      </c>
      <c r="K109" s="1">
        <v>41473</v>
      </c>
      <c r="M109" s="1" t="str">
        <f>IF(ISBLANK(Data[[#This Row],[EndDate]]),"Active","InActive")</f>
        <v>Active</v>
      </c>
      <c r="N109" t="s">
        <v>20</v>
      </c>
      <c r="O109" t="s">
        <v>21</v>
      </c>
      <c r="P109" t="s">
        <v>32</v>
      </c>
      <c r="Q109" s="2">
        <v>8987</v>
      </c>
    </row>
    <row r="110" spans="1:17" x14ac:dyDescent="0.2">
      <c r="A110" s="1">
        <v>43070</v>
      </c>
      <c r="B110">
        <v>52024</v>
      </c>
      <c r="C110" t="s">
        <v>80</v>
      </c>
      <c r="D110" t="s">
        <v>41</v>
      </c>
      <c r="E110" t="s">
        <v>62</v>
      </c>
      <c r="F110" s="5">
        <v>19</v>
      </c>
      <c r="G110" t="str">
        <f>IF(Data[[#This Row],[Age]]&lt;25,"Under 25",IF(Data[[#This Row],[Age]]&lt;35,"25–34",IF(Data[[#This Row],[Age]]&lt;45,"35–44",IF(Data[[#This Row],[Age]]&lt;55,"45–54","55+"))))</f>
        <v>Under 25</v>
      </c>
      <c r="H110" t="s">
        <v>34</v>
      </c>
      <c r="I110" t="s">
        <v>18</v>
      </c>
      <c r="J110" t="s">
        <v>37</v>
      </c>
      <c r="K110" s="1">
        <v>41501</v>
      </c>
      <c r="M110" s="1" t="str">
        <f>IF(ISBLANK(Data[[#This Row],[EndDate]]),"Active","InActive")</f>
        <v>Active</v>
      </c>
      <c r="N110" t="s">
        <v>20</v>
      </c>
      <c r="O110" t="s">
        <v>21</v>
      </c>
      <c r="P110" t="s">
        <v>32</v>
      </c>
      <c r="Q110" s="2">
        <v>7875.5</v>
      </c>
    </row>
    <row r="111" spans="1:17" x14ac:dyDescent="0.2">
      <c r="A111" s="1">
        <v>43070</v>
      </c>
      <c r="B111">
        <v>52770</v>
      </c>
      <c r="C111" t="s">
        <v>79</v>
      </c>
      <c r="D111" t="s">
        <v>47</v>
      </c>
      <c r="E111" t="s">
        <v>64</v>
      </c>
      <c r="F111" s="5">
        <v>19</v>
      </c>
      <c r="G111" t="str">
        <f>IF(Data[[#This Row],[Age]]&lt;25,"Under 25",IF(Data[[#This Row],[Age]]&lt;35,"25–34",IF(Data[[#This Row],[Age]]&lt;45,"35–44",IF(Data[[#This Row],[Age]]&lt;55,"45–54","55+"))))</f>
        <v>Under 25</v>
      </c>
      <c r="H111" t="s">
        <v>34</v>
      </c>
      <c r="I111" t="s">
        <v>18</v>
      </c>
      <c r="J111" t="s">
        <v>37</v>
      </c>
      <c r="K111" s="1">
        <v>41102</v>
      </c>
      <c r="M111" s="1" t="str">
        <f>IF(ISBLANK(Data[[#This Row],[EndDate]]),"Active","InActive")</f>
        <v>Active</v>
      </c>
      <c r="N111" t="s">
        <v>20</v>
      </c>
      <c r="O111" t="s">
        <v>21</v>
      </c>
      <c r="P111" t="s">
        <v>32</v>
      </c>
      <c r="Q111" s="2">
        <v>1102</v>
      </c>
    </row>
    <row r="112" spans="1:17" x14ac:dyDescent="0.2">
      <c r="A112" s="1">
        <v>43070</v>
      </c>
      <c r="B112">
        <v>56446</v>
      </c>
      <c r="C112" t="s">
        <v>80</v>
      </c>
      <c r="D112" t="s">
        <v>43</v>
      </c>
      <c r="E112" t="s">
        <v>66</v>
      </c>
      <c r="F112" s="5">
        <v>19</v>
      </c>
      <c r="G112" t="str">
        <f>IF(Data[[#This Row],[Age]]&lt;25,"Under 25",IF(Data[[#This Row],[Age]]&lt;35,"25–34",IF(Data[[#This Row],[Age]]&lt;45,"35–44",IF(Data[[#This Row],[Age]]&lt;55,"45–54","55+"))))</f>
        <v>Under 25</v>
      </c>
      <c r="H112" t="s">
        <v>25</v>
      </c>
      <c r="I112" t="s">
        <v>18</v>
      </c>
      <c r="J112" t="s">
        <v>37</v>
      </c>
      <c r="K112" s="1">
        <v>41545</v>
      </c>
      <c r="M112" s="1" t="str">
        <f>IF(ISBLANK(Data[[#This Row],[EndDate]]),"Active","InActive")</f>
        <v>Active</v>
      </c>
      <c r="N112" t="s">
        <v>20</v>
      </c>
      <c r="O112" t="s">
        <v>21</v>
      </c>
      <c r="P112" t="s">
        <v>32</v>
      </c>
      <c r="Q112" s="2">
        <v>1757.5</v>
      </c>
    </row>
    <row r="113" spans="1:17" x14ac:dyDescent="0.2">
      <c r="A113" s="1">
        <v>43070</v>
      </c>
      <c r="B113">
        <v>56456</v>
      </c>
      <c r="C113" t="s">
        <v>80</v>
      </c>
      <c r="D113" t="s">
        <v>41</v>
      </c>
      <c r="E113" t="s">
        <v>42</v>
      </c>
      <c r="F113" s="5">
        <v>19</v>
      </c>
      <c r="G113" t="str">
        <f>IF(Data[[#This Row],[Age]]&lt;25,"Under 25",IF(Data[[#This Row],[Age]]&lt;35,"25–34",IF(Data[[#This Row],[Age]]&lt;45,"35–44",IF(Data[[#This Row],[Age]]&lt;55,"45–54","55+"))))</f>
        <v>Under 25</v>
      </c>
      <c r="H113" t="s">
        <v>34</v>
      </c>
      <c r="I113" t="s">
        <v>18</v>
      </c>
      <c r="J113" t="s">
        <v>37</v>
      </c>
      <c r="K113" s="1">
        <v>41453</v>
      </c>
      <c r="M113" s="1" t="str">
        <f>IF(ISBLANK(Data[[#This Row],[EndDate]]),"Active","InActive")</f>
        <v>Active</v>
      </c>
      <c r="N113" t="s">
        <v>20</v>
      </c>
      <c r="O113" t="s">
        <v>21</v>
      </c>
      <c r="P113" t="s">
        <v>32</v>
      </c>
      <c r="Q113" s="2">
        <v>6336.5</v>
      </c>
    </row>
    <row r="114" spans="1:17" x14ac:dyDescent="0.2">
      <c r="A114" s="1">
        <v>43070</v>
      </c>
      <c r="B114">
        <v>56472</v>
      </c>
      <c r="C114" t="s">
        <v>80</v>
      </c>
      <c r="D114" t="s">
        <v>27</v>
      </c>
      <c r="E114" t="s">
        <v>28</v>
      </c>
      <c r="F114" s="5">
        <v>19</v>
      </c>
      <c r="G114" t="str">
        <f>IF(Data[[#This Row],[Age]]&lt;25,"Under 25",IF(Data[[#This Row],[Age]]&lt;35,"25–34",IF(Data[[#This Row],[Age]]&lt;45,"35–44",IF(Data[[#This Row],[Age]]&lt;55,"45–54","55+"))))</f>
        <v>Under 25</v>
      </c>
      <c r="H114" t="s">
        <v>25</v>
      </c>
      <c r="I114" t="s">
        <v>18</v>
      </c>
      <c r="J114" t="s">
        <v>37</v>
      </c>
      <c r="K114" s="1">
        <v>41564</v>
      </c>
      <c r="M114" s="1" t="str">
        <f>IF(ISBLANK(Data[[#This Row],[EndDate]]),"Active","InActive")</f>
        <v>Active</v>
      </c>
      <c r="N114" t="s">
        <v>20</v>
      </c>
      <c r="O114" t="s">
        <v>21</v>
      </c>
      <c r="P114" t="s">
        <v>32</v>
      </c>
      <c r="Q114" s="2">
        <v>7742.5</v>
      </c>
    </row>
    <row r="115" spans="1:17" x14ac:dyDescent="0.2">
      <c r="A115" s="1">
        <v>43435</v>
      </c>
      <c r="B115">
        <v>49284</v>
      </c>
      <c r="C115" t="s">
        <v>79</v>
      </c>
      <c r="D115" t="s">
        <v>23</v>
      </c>
      <c r="E115" t="s">
        <v>71</v>
      </c>
      <c r="F115" s="5">
        <v>19</v>
      </c>
      <c r="G115" t="str">
        <f>IF(Data[[#This Row],[Age]]&lt;25,"Under 25",IF(Data[[#This Row],[Age]]&lt;35,"25–34",IF(Data[[#This Row],[Age]]&lt;45,"35–44",IF(Data[[#This Row],[Age]]&lt;55,"45–54","55+"))))</f>
        <v>Under 25</v>
      </c>
      <c r="H115" t="s">
        <v>49</v>
      </c>
      <c r="I115" t="s">
        <v>18</v>
      </c>
      <c r="J115" t="s">
        <v>37</v>
      </c>
      <c r="K115" s="1">
        <v>41215</v>
      </c>
      <c r="M115" s="1" t="str">
        <f>IF(ISBLANK(Data[[#This Row],[EndDate]]),"Active","InActive")</f>
        <v>Active</v>
      </c>
      <c r="N115" t="s">
        <v>20</v>
      </c>
      <c r="O115" t="s">
        <v>21</v>
      </c>
      <c r="P115" t="s">
        <v>40</v>
      </c>
      <c r="Q115" s="2">
        <v>8388.5</v>
      </c>
    </row>
    <row r="116" spans="1:17" x14ac:dyDescent="0.2">
      <c r="A116" s="1">
        <v>43435</v>
      </c>
      <c r="B116">
        <v>49960</v>
      </c>
      <c r="C116" t="s">
        <v>79</v>
      </c>
      <c r="D116" t="s">
        <v>47</v>
      </c>
      <c r="E116" t="s">
        <v>73</v>
      </c>
      <c r="F116" s="5">
        <v>19</v>
      </c>
      <c r="G116" t="str">
        <f>IF(Data[[#This Row],[Age]]&lt;25,"Under 25",IF(Data[[#This Row],[Age]]&lt;35,"25–34",IF(Data[[#This Row],[Age]]&lt;45,"35–44",IF(Data[[#This Row],[Age]]&lt;55,"45–54","55+"))))</f>
        <v>Under 25</v>
      </c>
      <c r="H116" t="s">
        <v>25</v>
      </c>
      <c r="I116" t="s">
        <v>18</v>
      </c>
      <c r="J116" t="s">
        <v>37</v>
      </c>
      <c r="K116" s="1">
        <v>41943</v>
      </c>
      <c r="M116" s="1" t="str">
        <f>IF(ISBLANK(Data[[#This Row],[EndDate]]),"Active","InActive")</f>
        <v>Active</v>
      </c>
      <c r="N116" t="s">
        <v>20</v>
      </c>
      <c r="O116" t="s">
        <v>21</v>
      </c>
      <c r="P116" t="s">
        <v>40</v>
      </c>
      <c r="Q116" s="2">
        <v>2964</v>
      </c>
    </row>
    <row r="117" spans="1:17" x14ac:dyDescent="0.2">
      <c r="A117" s="1">
        <v>43435</v>
      </c>
      <c r="B117">
        <v>49966</v>
      </c>
      <c r="C117" t="s">
        <v>79</v>
      </c>
      <c r="D117" t="s">
        <v>41</v>
      </c>
      <c r="E117" t="s">
        <v>42</v>
      </c>
      <c r="F117" s="5">
        <v>19</v>
      </c>
      <c r="G117" t="str">
        <f>IF(Data[[#This Row],[Age]]&lt;25,"Under 25",IF(Data[[#This Row],[Age]]&lt;35,"25–34",IF(Data[[#This Row],[Age]]&lt;45,"35–44",IF(Data[[#This Row],[Age]]&lt;55,"45–54","55+"))))</f>
        <v>Under 25</v>
      </c>
      <c r="H117" t="s">
        <v>17</v>
      </c>
      <c r="I117" t="s">
        <v>18</v>
      </c>
      <c r="J117" t="s">
        <v>37</v>
      </c>
      <c r="K117" s="1">
        <v>41709</v>
      </c>
      <c r="M117" s="1" t="str">
        <f>IF(ISBLANK(Data[[#This Row],[EndDate]]),"Active","InActive")</f>
        <v>Active</v>
      </c>
      <c r="N117" t="s">
        <v>20</v>
      </c>
      <c r="O117" t="s">
        <v>21</v>
      </c>
      <c r="P117" t="s">
        <v>40</v>
      </c>
      <c r="Q117" s="2">
        <v>7647.5</v>
      </c>
    </row>
    <row r="118" spans="1:17" x14ac:dyDescent="0.2">
      <c r="A118" s="1">
        <v>43435</v>
      </c>
      <c r="B118">
        <v>50850</v>
      </c>
      <c r="C118" t="s">
        <v>80</v>
      </c>
      <c r="D118" t="s">
        <v>23</v>
      </c>
      <c r="E118" t="s">
        <v>24</v>
      </c>
      <c r="F118" s="5">
        <v>19</v>
      </c>
      <c r="G118" t="str">
        <f>IF(Data[[#This Row],[Age]]&lt;25,"Under 25",IF(Data[[#This Row],[Age]]&lt;35,"25–34",IF(Data[[#This Row],[Age]]&lt;45,"35–44",IF(Data[[#This Row],[Age]]&lt;55,"45–54","55+"))))</f>
        <v>Under 25</v>
      </c>
      <c r="H118" t="s">
        <v>25</v>
      </c>
      <c r="I118" t="s">
        <v>18</v>
      </c>
      <c r="J118" t="s">
        <v>37</v>
      </c>
      <c r="K118" s="1">
        <v>41755</v>
      </c>
      <c r="L118" s="1">
        <v>41875</v>
      </c>
      <c r="M118" s="1" t="str">
        <f>IF(ISBLANK(Data[[#This Row],[EndDate]]),"Active","InActive")</f>
        <v>InActive</v>
      </c>
      <c r="N118" t="s">
        <v>20</v>
      </c>
      <c r="O118" t="s">
        <v>21</v>
      </c>
      <c r="P118" t="s">
        <v>40</v>
      </c>
      <c r="Q118" s="2">
        <v>7657</v>
      </c>
    </row>
    <row r="119" spans="1:17" x14ac:dyDescent="0.2">
      <c r="A119" s="1">
        <v>43435</v>
      </c>
      <c r="B119">
        <v>51456</v>
      </c>
      <c r="C119" t="s">
        <v>79</v>
      </c>
      <c r="D119" t="s">
        <v>52</v>
      </c>
      <c r="E119" t="s">
        <v>53</v>
      </c>
      <c r="F119" s="5">
        <v>19</v>
      </c>
      <c r="G119" t="str">
        <f>IF(Data[[#This Row],[Age]]&lt;25,"Under 25",IF(Data[[#This Row],[Age]]&lt;35,"25–34",IF(Data[[#This Row],[Age]]&lt;45,"35–44",IF(Data[[#This Row],[Age]]&lt;55,"45–54","55+"))))</f>
        <v>Under 25</v>
      </c>
      <c r="H119" t="s">
        <v>59</v>
      </c>
      <c r="I119" t="s">
        <v>18</v>
      </c>
      <c r="J119" t="s">
        <v>37</v>
      </c>
      <c r="K119" s="1">
        <v>41936</v>
      </c>
      <c r="M119" s="1" t="str">
        <f>IF(ISBLANK(Data[[#This Row],[EndDate]]),"Active","InActive")</f>
        <v>Active</v>
      </c>
      <c r="N119" t="s">
        <v>20</v>
      </c>
      <c r="O119" t="s">
        <v>21</v>
      </c>
      <c r="P119" t="s">
        <v>40</v>
      </c>
      <c r="Q119" s="2">
        <v>2413</v>
      </c>
    </row>
    <row r="120" spans="1:17" x14ac:dyDescent="0.2">
      <c r="A120" s="1">
        <v>43435</v>
      </c>
      <c r="B120">
        <v>51458</v>
      </c>
      <c r="C120" t="s">
        <v>80</v>
      </c>
      <c r="D120" t="s">
        <v>27</v>
      </c>
      <c r="E120" t="s">
        <v>74</v>
      </c>
      <c r="F120" s="5">
        <v>19</v>
      </c>
      <c r="G120" t="str">
        <f>IF(Data[[#This Row],[Age]]&lt;25,"Under 25",IF(Data[[#This Row],[Age]]&lt;35,"25–34",IF(Data[[#This Row],[Age]]&lt;45,"35–44",IF(Data[[#This Row],[Age]]&lt;55,"45–54","55+"))))</f>
        <v>Under 25</v>
      </c>
      <c r="H120" t="s">
        <v>59</v>
      </c>
      <c r="I120" t="s">
        <v>18</v>
      </c>
      <c r="J120" t="s">
        <v>37</v>
      </c>
      <c r="K120" s="1">
        <v>41768</v>
      </c>
      <c r="M120" s="1" t="str">
        <f>IF(ISBLANK(Data[[#This Row],[EndDate]]),"Active","InActive")</f>
        <v>Active</v>
      </c>
      <c r="N120" t="s">
        <v>20</v>
      </c>
      <c r="O120" t="s">
        <v>21</v>
      </c>
      <c r="P120" t="s">
        <v>40</v>
      </c>
      <c r="Q120" s="2">
        <v>3163.5</v>
      </c>
    </row>
    <row r="121" spans="1:17" x14ac:dyDescent="0.2">
      <c r="A121" s="1">
        <v>43435</v>
      </c>
      <c r="B121">
        <v>52706</v>
      </c>
      <c r="C121" t="s">
        <v>80</v>
      </c>
      <c r="D121" t="s">
        <v>27</v>
      </c>
      <c r="E121" t="s">
        <v>72</v>
      </c>
      <c r="F121" s="5">
        <v>19</v>
      </c>
      <c r="G121" t="str">
        <f>IF(Data[[#This Row],[Age]]&lt;25,"Under 25",IF(Data[[#This Row],[Age]]&lt;35,"25–34",IF(Data[[#This Row],[Age]]&lt;45,"35–44",IF(Data[[#This Row],[Age]]&lt;55,"45–54","55+"))))</f>
        <v>Under 25</v>
      </c>
      <c r="H121" t="s">
        <v>49</v>
      </c>
      <c r="I121" t="s">
        <v>18</v>
      </c>
      <c r="J121" t="s">
        <v>37</v>
      </c>
      <c r="K121" s="1">
        <v>41936</v>
      </c>
      <c r="M121" s="1" t="str">
        <f>IF(ISBLANK(Data[[#This Row],[EndDate]]),"Active","InActive")</f>
        <v>Active</v>
      </c>
      <c r="N121" t="s">
        <v>20</v>
      </c>
      <c r="O121" t="s">
        <v>21</v>
      </c>
      <c r="P121" t="s">
        <v>40</v>
      </c>
      <c r="Q121" s="2">
        <v>8084.5</v>
      </c>
    </row>
    <row r="122" spans="1:17" x14ac:dyDescent="0.2">
      <c r="A122" s="1">
        <v>43435</v>
      </c>
      <c r="B122">
        <v>55598</v>
      </c>
      <c r="C122" t="s">
        <v>80</v>
      </c>
      <c r="D122" t="s">
        <v>15</v>
      </c>
      <c r="E122" t="s">
        <v>70</v>
      </c>
      <c r="F122" s="5">
        <v>19</v>
      </c>
      <c r="G122" t="str">
        <f>IF(Data[[#This Row],[Age]]&lt;25,"Under 25",IF(Data[[#This Row],[Age]]&lt;35,"25–34",IF(Data[[#This Row],[Age]]&lt;45,"35–44",IF(Data[[#This Row],[Age]]&lt;55,"45–54","55+"))))</f>
        <v>Under 25</v>
      </c>
      <c r="H122" t="s">
        <v>25</v>
      </c>
      <c r="I122" t="s">
        <v>18</v>
      </c>
      <c r="J122" t="s">
        <v>37</v>
      </c>
      <c r="K122" s="1">
        <v>41964</v>
      </c>
      <c r="M122" s="1" t="str">
        <f>IF(ISBLANK(Data[[#This Row],[EndDate]]),"Active","InActive")</f>
        <v>Active</v>
      </c>
      <c r="N122" t="s">
        <v>20</v>
      </c>
      <c r="O122" t="s">
        <v>21</v>
      </c>
      <c r="P122" t="s">
        <v>40</v>
      </c>
      <c r="Q122" s="2">
        <v>4816.5</v>
      </c>
    </row>
    <row r="123" spans="1:17" x14ac:dyDescent="0.2">
      <c r="A123" s="1">
        <v>43435</v>
      </c>
      <c r="B123">
        <v>55620</v>
      </c>
      <c r="C123" t="s">
        <v>79</v>
      </c>
      <c r="D123" t="s">
        <v>41</v>
      </c>
      <c r="E123" t="s">
        <v>42</v>
      </c>
      <c r="F123" s="5">
        <v>19</v>
      </c>
      <c r="G123" t="str">
        <f>IF(Data[[#This Row],[Age]]&lt;25,"Under 25",IF(Data[[#This Row],[Age]]&lt;35,"25–34",IF(Data[[#This Row],[Age]]&lt;45,"35–44",IF(Data[[#This Row],[Age]]&lt;55,"45–54","55+"))))</f>
        <v>Under 25</v>
      </c>
      <c r="H123" t="s">
        <v>59</v>
      </c>
      <c r="I123" t="s">
        <v>18</v>
      </c>
      <c r="J123" t="s">
        <v>37</v>
      </c>
      <c r="K123" s="1">
        <v>41745</v>
      </c>
      <c r="M123" s="1" t="str">
        <f>IF(ISBLANK(Data[[#This Row],[EndDate]]),"Active","InActive")</f>
        <v>Active</v>
      </c>
      <c r="N123" t="s">
        <v>20</v>
      </c>
      <c r="O123" t="s">
        <v>21</v>
      </c>
      <c r="P123" t="s">
        <v>40</v>
      </c>
      <c r="Q123" s="2">
        <v>7315</v>
      </c>
    </row>
    <row r="124" spans="1:17" x14ac:dyDescent="0.2">
      <c r="A124" s="1">
        <v>42705</v>
      </c>
      <c r="B124">
        <v>9460</v>
      </c>
      <c r="C124" t="s">
        <v>80</v>
      </c>
      <c r="D124" t="s">
        <v>50</v>
      </c>
      <c r="E124" t="s">
        <v>63</v>
      </c>
      <c r="F124" s="5">
        <v>19</v>
      </c>
      <c r="G124" t="str">
        <f>IF(Data[[#This Row],[Age]]&lt;25,"Under 25",IF(Data[[#This Row],[Age]]&lt;35,"25–34",IF(Data[[#This Row],[Age]]&lt;45,"35–44",IF(Data[[#This Row],[Age]]&lt;55,"45–54","55+"))))</f>
        <v>Under 25</v>
      </c>
      <c r="H124" t="s">
        <v>31</v>
      </c>
      <c r="I124" t="s">
        <v>18</v>
      </c>
      <c r="J124" t="s">
        <v>37</v>
      </c>
      <c r="K124" s="1">
        <v>40813</v>
      </c>
      <c r="M124" s="1" t="str">
        <f>IF(ISBLANK(Data[[#This Row],[EndDate]]),"Active","InActive")</f>
        <v>Active</v>
      </c>
      <c r="N124" t="s">
        <v>20</v>
      </c>
      <c r="O124" t="s">
        <v>21</v>
      </c>
      <c r="P124" t="s">
        <v>22</v>
      </c>
      <c r="Q124" s="2">
        <v>3999.5</v>
      </c>
    </row>
    <row r="125" spans="1:17" x14ac:dyDescent="0.2">
      <c r="A125" s="1">
        <v>42705</v>
      </c>
      <c r="B125">
        <v>23112</v>
      </c>
      <c r="C125" t="s">
        <v>79</v>
      </c>
      <c r="D125" t="s">
        <v>38</v>
      </c>
      <c r="E125" t="s">
        <v>39</v>
      </c>
      <c r="F125" s="5">
        <v>19</v>
      </c>
      <c r="G125" t="str">
        <f>IF(Data[[#This Row],[Age]]&lt;25,"Under 25",IF(Data[[#This Row],[Age]]&lt;35,"25–34",IF(Data[[#This Row],[Age]]&lt;45,"35–44",IF(Data[[#This Row],[Age]]&lt;55,"45–54","55+"))))</f>
        <v>Under 25</v>
      </c>
      <c r="H125" t="s">
        <v>17</v>
      </c>
      <c r="I125" t="s">
        <v>18</v>
      </c>
      <c r="J125" t="s">
        <v>37</v>
      </c>
      <c r="K125" s="1">
        <v>40961</v>
      </c>
      <c r="M125" s="1" t="str">
        <f>IF(ISBLANK(Data[[#This Row],[EndDate]]),"Active","InActive")</f>
        <v>Active</v>
      </c>
      <c r="N125" t="s">
        <v>20</v>
      </c>
      <c r="O125" t="s">
        <v>21</v>
      </c>
      <c r="P125" t="s">
        <v>22</v>
      </c>
      <c r="Q125" s="2">
        <v>8730.5</v>
      </c>
    </row>
    <row r="126" spans="1:17" x14ac:dyDescent="0.2">
      <c r="A126" s="1">
        <v>42705</v>
      </c>
      <c r="B126">
        <v>40484</v>
      </c>
      <c r="C126" t="s">
        <v>80</v>
      </c>
      <c r="D126" t="s">
        <v>41</v>
      </c>
      <c r="E126" t="s">
        <v>68</v>
      </c>
      <c r="F126" s="5">
        <v>19</v>
      </c>
      <c r="G126" t="str">
        <f>IF(Data[[#This Row],[Age]]&lt;25,"Under 25",IF(Data[[#This Row],[Age]]&lt;35,"25–34",IF(Data[[#This Row],[Age]]&lt;45,"35–44",IF(Data[[#This Row],[Age]]&lt;55,"45–54","55+"))))</f>
        <v>Under 25</v>
      </c>
      <c r="H126" t="s">
        <v>25</v>
      </c>
      <c r="I126" t="s">
        <v>18</v>
      </c>
      <c r="J126" t="s">
        <v>37</v>
      </c>
      <c r="K126" s="1">
        <v>40890</v>
      </c>
      <c r="M126" s="1" t="str">
        <f>IF(ISBLANK(Data[[#This Row],[EndDate]]),"Active","InActive")</f>
        <v>Active</v>
      </c>
      <c r="N126" t="s">
        <v>20</v>
      </c>
      <c r="O126" t="s">
        <v>21</v>
      </c>
      <c r="P126" t="s">
        <v>22</v>
      </c>
      <c r="Q126" s="2">
        <v>5111</v>
      </c>
    </row>
    <row r="127" spans="1:17" x14ac:dyDescent="0.2">
      <c r="A127" s="1">
        <v>42705</v>
      </c>
      <c r="B127">
        <v>40506</v>
      </c>
      <c r="C127" t="s">
        <v>80</v>
      </c>
      <c r="D127" t="s">
        <v>41</v>
      </c>
      <c r="E127" t="s">
        <v>62</v>
      </c>
      <c r="F127" s="5">
        <v>19</v>
      </c>
      <c r="G127" t="str">
        <f>IF(Data[[#This Row],[Age]]&lt;25,"Under 25",IF(Data[[#This Row],[Age]]&lt;35,"25–34",IF(Data[[#This Row],[Age]]&lt;45,"35–44",IF(Data[[#This Row],[Age]]&lt;55,"45–54","55+"))))</f>
        <v>Under 25</v>
      </c>
      <c r="H127" t="s">
        <v>17</v>
      </c>
      <c r="I127" t="s">
        <v>18</v>
      </c>
      <c r="J127" t="s">
        <v>37</v>
      </c>
      <c r="K127" s="1">
        <v>41117</v>
      </c>
      <c r="M127" s="1" t="str">
        <f>IF(ISBLANK(Data[[#This Row],[EndDate]]),"Active","InActive")</f>
        <v>Active</v>
      </c>
      <c r="N127" t="s">
        <v>20</v>
      </c>
      <c r="O127" t="s">
        <v>21</v>
      </c>
      <c r="P127" t="s">
        <v>22</v>
      </c>
      <c r="Q127" s="2">
        <v>6032.5</v>
      </c>
    </row>
    <row r="128" spans="1:17" x14ac:dyDescent="0.2">
      <c r="A128" s="1">
        <v>42705</v>
      </c>
      <c r="B128">
        <v>103112</v>
      </c>
      <c r="C128" t="s">
        <v>80</v>
      </c>
      <c r="D128" t="s">
        <v>29</v>
      </c>
      <c r="E128" t="s">
        <v>36</v>
      </c>
      <c r="F128" s="5">
        <v>19</v>
      </c>
      <c r="G128" t="str">
        <f>IF(Data[[#This Row],[Age]]&lt;25,"Under 25",IF(Data[[#This Row],[Age]]&lt;35,"25–34",IF(Data[[#This Row],[Age]]&lt;45,"35–44",IF(Data[[#This Row],[Age]]&lt;55,"45–54","55+"))))</f>
        <v>Under 25</v>
      </c>
      <c r="H128" t="s">
        <v>34</v>
      </c>
      <c r="I128" t="s">
        <v>18</v>
      </c>
      <c r="J128" t="s">
        <v>37</v>
      </c>
      <c r="K128" s="1">
        <v>41200</v>
      </c>
      <c r="M128" s="1" t="str">
        <f>IF(ISBLANK(Data[[#This Row],[EndDate]]),"Active","InActive")</f>
        <v>Active</v>
      </c>
      <c r="N128" t="s">
        <v>20</v>
      </c>
      <c r="O128" t="s">
        <v>21</v>
      </c>
      <c r="P128" t="s">
        <v>22</v>
      </c>
      <c r="Q128" s="2">
        <v>6735.5</v>
      </c>
    </row>
    <row r="129" spans="1:17" x14ac:dyDescent="0.2">
      <c r="A129" s="1">
        <v>42705</v>
      </c>
      <c r="B129">
        <v>107354</v>
      </c>
      <c r="C129" t="s">
        <v>80</v>
      </c>
      <c r="D129" t="s">
        <v>47</v>
      </c>
      <c r="E129" t="s">
        <v>64</v>
      </c>
      <c r="F129" s="5">
        <v>19</v>
      </c>
      <c r="G129" t="str">
        <f>IF(Data[[#This Row],[Age]]&lt;25,"Under 25",IF(Data[[#This Row],[Age]]&lt;35,"25–34",IF(Data[[#This Row],[Age]]&lt;45,"35–44",IF(Data[[#This Row],[Age]]&lt;55,"45–54","55+"))))</f>
        <v>Under 25</v>
      </c>
      <c r="H129" t="s">
        <v>34</v>
      </c>
      <c r="I129" t="s">
        <v>18</v>
      </c>
      <c r="J129" t="s">
        <v>37</v>
      </c>
      <c r="K129" s="1">
        <v>41222</v>
      </c>
      <c r="M129" s="1" t="str">
        <f>IF(ISBLANK(Data[[#This Row],[EndDate]]),"Active","InActive")</f>
        <v>Active</v>
      </c>
      <c r="N129" t="s">
        <v>20</v>
      </c>
      <c r="O129" t="s">
        <v>21</v>
      </c>
      <c r="P129" t="s">
        <v>22</v>
      </c>
      <c r="Q129" s="2">
        <v>8217.5</v>
      </c>
    </row>
    <row r="130" spans="1:17" x14ac:dyDescent="0.2">
      <c r="A130" s="1">
        <v>42705</v>
      </c>
      <c r="B130">
        <v>107436</v>
      </c>
      <c r="C130" t="s">
        <v>79</v>
      </c>
      <c r="D130" t="s">
        <v>52</v>
      </c>
      <c r="E130" t="s">
        <v>67</v>
      </c>
      <c r="F130" s="5">
        <v>19</v>
      </c>
      <c r="G130" t="str">
        <f>IF(Data[[#This Row],[Age]]&lt;25,"Under 25",IF(Data[[#This Row],[Age]]&lt;35,"25–34",IF(Data[[#This Row],[Age]]&lt;45,"35–44",IF(Data[[#This Row],[Age]]&lt;55,"45–54","55+"))))</f>
        <v>Under 25</v>
      </c>
      <c r="H130" t="s">
        <v>25</v>
      </c>
      <c r="I130" t="s">
        <v>18</v>
      </c>
      <c r="J130" t="s">
        <v>37</v>
      </c>
      <c r="K130" s="1">
        <v>41202</v>
      </c>
      <c r="M130" s="1" t="str">
        <f>IF(ISBLANK(Data[[#This Row],[EndDate]]),"Active","InActive")</f>
        <v>Active</v>
      </c>
      <c r="N130" t="s">
        <v>20</v>
      </c>
      <c r="O130" t="s">
        <v>21</v>
      </c>
      <c r="P130" t="s">
        <v>22</v>
      </c>
      <c r="Q130" s="2">
        <v>7619</v>
      </c>
    </row>
    <row r="131" spans="1:17" x14ac:dyDescent="0.2">
      <c r="A131" s="1">
        <v>42705</v>
      </c>
      <c r="B131">
        <v>109934</v>
      </c>
      <c r="C131" t="s">
        <v>80</v>
      </c>
      <c r="D131" t="s">
        <v>52</v>
      </c>
      <c r="E131" t="s">
        <v>67</v>
      </c>
      <c r="F131" s="5">
        <v>19</v>
      </c>
      <c r="G131" t="str">
        <f>IF(Data[[#This Row],[Age]]&lt;25,"Under 25",IF(Data[[#This Row],[Age]]&lt;35,"25–34",IF(Data[[#This Row],[Age]]&lt;45,"35–44",IF(Data[[#This Row],[Age]]&lt;55,"45–54","55+"))))</f>
        <v>Under 25</v>
      </c>
      <c r="H131" t="s">
        <v>59</v>
      </c>
      <c r="I131" t="s">
        <v>18</v>
      </c>
      <c r="J131" t="s">
        <v>37</v>
      </c>
      <c r="K131" s="1">
        <v>41222</v>
      </c>
      <c r="M131" s="1" t="str">
        <f>IF(ISBLANK(Data[[#This Row],[EndDate]]),"Active","InActive")</f>
        <v>Active</v>
      </c>
      <c r="N131" t="s">
        <v>20</v>
      </c>
      <c r="O131" t="s">
        <v>21</v>
      </c>
      <c r="P131" t="s">
        <v>22</v>
      </c>
      <c r="Q131" s="2">
        <v>7429</v>
      </c>
    </row>
    <row r="132" spans="1:17" x14ac:dyDescent="0.2">
      <c r="A132" s="1">
        <v>42705</v>
      </c>
      <c r="B132">
        <v>115994</v>
      </c>
      <c r="C132" t="s">
        <v>79</v>
      </c>
      <c r="D132" t="s">
        <v>50</v>
      </c>
      <c r="E132" t="s">
        <v>63</v>
      </c>
      <c r="F132" s="5">
        <v>19</v>
      </c>
      <c r="G132" t="str">
        <f>IF(Data[[#This Row],[Age]]&lt;25,"Under 25",IF(Data[[#This Row],[Age]]&lt;35,"25–34",IF(Data[[#This Row],[Age]]&lt;45,"35–44",IF(Data[[#This Row],[Age]]&lt;55,"45–54","55+"))))</f>
        <v>Under 25</v>
      </c>
      <c r="H132" t="s">
        <v>34</v>
      </c>
      <c r="I132" t="s">
        <v>18</v>
      </c>
      <c r="J132" t="s">
        <v>37</v>
      </c>
      <c r="K132" s="1">
        <v>41011</v>
      </c>
      <c r="M132" s="1" t="str">
        <f>IF(ISBLANK(Data[[#This Row],[EndDate]]),"Active","InActive")</f>
        <v>Active</v>
      </c>
      <c r="N132" t="s">
        <v>20</v>
      </c>
      <c r="O132" t="s">
        <v>21</v>
      </c>
      <c r="P132" t="s">
        <v>22</v>
      </c>
      <c r="Q132" s="2">
        <v>8170</v>
      </c>
    </row>
    <row r="133" spans="1:17" x14ac:dyDescent="0.2">
      <c r="A133" s="1">
        <v>43070</v>
      </c>
      <c r="B133">
        <v>1936</v>
      </c>
      <c r="C133" t="s">
        <v>79</v>
      </c>
      <c r="D133" t="s">
        <v>15</v>
      </c>
      <c r="E133" t="s">
        <v>16</v>
      </c>
      <c r="F133" s="5">
        <v>19</v>
      </c>
      <c r="G133" t="str">
        <f>IF(Data[[#This Row],[Age]]&lt;25,"Under 25",IF(Data[[#This Row],[Age]]&lt;35,"25–34",IF(Data[[#This Row],[Age]]&lt;45,"35–44",IF(Data[[#This Row],[Age]]&lt;55,"45–54","55+"))))</f>
        <v>Under 25</v>
      </c>
      <c r="H133" t="s">
        <v>34</v>
      </c>
      <c r="I133" t="s">
        <v>18</v>
      </c>
      <c r="J133" t="s">
        <v>37</v>
      </c>
      <c r="K133" s="1">
        <v>41529</v>
      </c>
      <c r="M133" s="1" t="str">
        <f>IF(ISBLANK(Data[[#This Row],[EndDate]]),"Active","InActive")</f>
        <v>Active</v>
      </c>
      <c r="N133" t="s">
        <v>20</v>
      </c>
      <c r="O133" t="s">
        <v>21</v>
      </c>
      <c r="P133" t="s">
        <v>32</v>
      </c>
      <c r="Q133" s="2">
        <v>6194</v>
      </c>
    </row>
    <row r="134" spans="1:17" x14ac:dyDescent="0.2">
      <c r="A134" s="1">
        <v>43070</v>
      </c>
      <c r="B134">
        <v>5216</v>
      </c>
      <c r="C134" t="s">
        <v>79</v>
      </c>
      <c r="D134" t="s">
        <v>52</v>
      </c>
      <c r="E134" t="s">
        <v>53</v>
      </c>
      <c r="F134" s="5">
        <v>19</v>
      </c>
      <c r="G134" t="str">
        <f>IF(Data[[#This Row],[Age]]&lt;25,"Under 25",IF(Data[[#This Row],[Age]]&lt;35,"25–34",IF(Data[[#This Row],[Age]]&lt;45,"35–44",IF(Data[[#This Row],[Age]]&lt;55,"45–54","55+"))))</f>
        <v>Under 25</v>
      </c>
      <c r="H134" t="s">
        <v>49</v>
      </c>
      <c r="I134" t="s">
        <v>18</v>
      </c>
      <c r="J134" t="s">
        <v>37</v>
      </c>
      <c r="K134" s="1">
        <v>41577</v>
      </c>
      <c r="M134" s="1" t="str">
        <f>IF(ISBLANK(Data[[#This Row],[EndDate]]),"Active","InActive")</f>
        <v>Active</v>
      </c>
      <c r="N134" t="s">
        <v>20</v>
      </c>
      <c r="O134" t="s">
        <v>21</v>
      </c>
      <c r="P134" t="s">
        <v>32</v>
      </c>
      <c r="Q134" s="2">
        <v>4655</v>
      </c>
    </row>
    <row r="135" spans="1:17" x14ac:dyDescent="0.2">
      <c r="A135" s="1">
        <v>43070</v>
      </c>
      <c r="B135">
        <v>5268</v>
      </c>
      <c r="C135" t="s">
        <v>80</v>
      </c>
      <c r="D135" t="s">
        <v>52</v>
      </c>
      <c r="E135" t="s">
        <v>67</v>
      </c>
      <c r="F135" s="5">
        <v>19</v>
      </c>
      <c r="G135" t="str">
        <f>IF(Data[[#This Row],[Age]]&lt;25,"Under 25",IF(Data[[#This Row],[Age]]&lt;35,"25–34",IF(Data[[#This Row],[Age]]&lt;45,"35–44",IF(Data[[#This Row],[Age]]&lt;55,"45–54","55+"))))</f>
        <v>Under 25</v>
      </c>
      <c r="H135" t="s">
        <v>49</v>
      </c>
      <c r="I135" t="s">
        <v>18</v>
      </c>
      <c r="J135" t="s">
        <v>37</v>
      </c>
      <c r="K135" s="1">
        <v>41502</v>
      </c>
      <c r="M135" s="1" t="str">
        <f>IF(ISBLANK(Data[[#This Row],[EndDate]]),"Active","InActive")</f>
        <v>Active</v>
      </c>
      <c r="N135" t="s">
        <v>20</v>
      </c>
      <c r="O135" t="s">
        <v>21</v>
      </c>
      <c r="P135" t="s">
        <v>32</v>
      </c>
      <c r="Q135" s="2">
        <v>8854</v>
      </c>
    </row>
    <row r="136" spans="1:17" x14ac:dyDescent="0.2">
      <c r="A136" s="1">
        <v>43070</v>
      </c>
      <c r="B136">
        <v>9222</v>
      </c>
      <c r="C136" t="s">
        <v>79</v>
      </c>
      <c r="D136" t="s">
        <v>52</v>
      </c>
      <c r="E136" t="s">
        <v>67</v>
      </c>
      <c r="F136" s="5">
        <v>19</v>
      </c>
      <c r="G136" t="str">
        <f>IF(Data[[#This Row],[Age]]&lt;25,"Under 25",IF(Data[[#This Row],[Age]]&lt;35,"25–34",IF(Data[[#This Row],[Age]]&lt;45,"35–44",IF(Data[[#This Row],[Age]]&lt;55,"45–54","55+"))))</f>
        <v>Under 25</v>
      </c>
      <c r="H136" t="s">
        <v>49</v>
      </c>
      <c r="I136" t="s">
        <v>18</v>
      </c>
      <c r="J136" t="s">
        <v>37</v>
      </c>
      <c r="K136" s="1">
        <v>41592</v>
      </c>
      <c r="M136" s="1" t="str">
        <f>IF(ISBLANK(Data[[#This Row],[EndDate]]),"Active","InActive")</f>
        <v>Active</v>
      </c>
      <c r="N136" t="s">
        <v>20</v>
      </c>
      <c r="O136" t="s">
        <v>21</v>
      </c>
      <c r="P136" t="s">
        <v>32</v>
      </c>
      <c r="Q136" s="2">
        <v>4408</v>
      </c>
    </row>
    <row r="137" spans="1:17" x14ac:dyDescent="0.2">
      <c r="A137" s="1">
        <v>43070</v>
      </c>
      <c r="B137">
        <v>40462</v>
      </c>
      <c r="C137" t="s">
        <v>79</v>
      </c>
      <c r="D137" t="s">
        <v>47</v>
      </c>
      <c r="E137" t="s">
        <v>73</v>
      </c>
      <c r="F137" s="5">
        <v>19</v>
      </c>
      <c r="G137" t="str">
        <f>IF(Data[[#This Row],[Age]]&lt;25,"Under 25",IF(Data[[#This Row],[Age]]&lt;35,"25–34",IF(Data[[#This Row],[Age]]&lt;45,"35–44",IF(Data[[#This Row],[Age]]&lt;55,"45–54","55+"))))</f>
        <v>Under 25</v>
      </c>
      <c r="H137" t="s">
        <v>49</v>
      </c>
      <c r="I137" t="s">
        <v>18</v>
      </c>
      <c r="J137" t="s">
        <v>37</v>
      </c>
      <c r="K137" s="1">
        <v>41536</v>
      </c>
      <c r="M137" s="1" t="str">
        <f>IF(ISBLANK(Data[[#This Row],[EndDate]]),"Active","InActive")</f>
        <v>Active</v>
      </c>
      <c r="N137" t="s">
        <v>20</v>
      </c>
      <c r="O137" t="s">
        <v>21</v>
      </c>
      <c r="P137" t="s">
        <v>32</v>
      </c>
      <c r="Q137" s="2">
        <v>8578.5</v>
      </c>
    </row>
    <row r="138" spans="1:17" x14ac:dyDescent="0.2">
      <c r="A138" s="1">
        <v>43070</v>
      </c>
      <c r="B138">
        <v>43570</v>
      </c>
      <c r="C138" t="s">
        <v>79</v>
      </c>
      <c r="D138" t="s">
        <v>50</v>
      </c>
      <c r="E138" t="s">
        <v>63</v>
      </c>
      <c r="F138" s="5">
        <v>19</v>
      </c>
      <c r="G138" t="str">
        <f>IF(Data[[#This Row],[Age]]&lt;25,"Under 25",IF(Data[[#This Row],[Age]]&lt;35,"25–34",IF(Data[[#This Row],[Age]]&lt;45,"35–44",IF(Data[[#This Row],[Age]]&lt;55,"45–54","55+"))))</f>
        <v>Under 25</v>
      </c>
      <c r="H138" t="s">
        <v>49</v>
      </c>
      <c r="I138" t="s">
        <v>18</v>
      </c>
      <c r="J138" t="s">
        <v>37</v>
      </c>
      <c r="K138" s="1">
        <v>41584</v>
      </c>
      <c r="M138" s="1" t="str">
        <f>IF(ISBLANK(Data[[#This Row],[EndDate]]),"Active","InActive")</f>
        <v>Active</v>
      </c>
      <c r="N138" t="s">
        <v>20</v>
      </c>
      <c r="O138" t="s">
        <v>21</v>
      </c>
      <c r="P138" t="s">
        <v>32</v>
      </c>
      <c r="Q138" s="2">
        <v>2536.5</v>
      </c>
    </row>
    <row r="139" spans="1:17" x14ac:dyDescent="0.2">
      <c r="A139" s="1">
        <v>43070</v>
      </c>
      <c r="B139">
        <v>52986</v>
      </c>
      <c r="C139" t="s">
        <v>79</v>
      </c>
      <c r="D139" t="s">
        <v>27</v>
      </c>
      <c r="E139" t="s">
        <v>28</v>
      </c>
      <c r="F139" s="5">
        <v>19</v>
      </c>
      <c r="G139" t="str">
        <f>IF(Data[[#This Row],[Age]]&lt;25,"Under 25",IF(Data[[#This Row],[Age]]&lt;35,"25–34",IF(Data[[#This Row],[Age]]&lt;45,"35–44",IF(Data[[#This Row],[Age]]&lt;55,"45–54","55+"))))</f>
        <v>Under 25</v>
      </c>
      <c r="H139" t="s">
        <v>59</v>
      </c>
      <c r="I139" t="s">
        <v>18</v>
      </c>
      <c r="J139" t="s">
        <v>37</v>
      </c>
      <c r="K139" s="1">
        <v>41103</v>
      </c>
      <c r="M139" s="1" t="str">
        <f>IF(ISBLANK(Data[[#This Row],[EndDate]]),"Active","InActive")</f>
        <v>Active</v>
      </c>
      <c r="N139" t="s">
        <v>20</v>
      </c>
      <c r="O139" t="s">
        <v>21</v>
      </c>
      <c r="P139" t="s">
        <v>32</v>
      </c>
      <c r="Q139" s="2">
        <v>2945</v>
      </c>
    </row>
    <row r="140" spans="1:17" x14ac:dyDescent="0.2">
      <c r="A140" s="1">
        <v>43070</v>
      </c>
      <c r="B140">
        <v>91790</v>
      </c>
      <c r="C140" t="s">
        <v>80</v>
      </c>
      <c r="D140" t="s">
        <v>23</v>
      </c>
      <c r="E140" t="s">
        <v>24</v>
      </c>
      <c r="F140" s="5">
        <v>19</v>
      </c>
      <c r="G140" t="str">
        <f>IF(Data[[#This Row],[Age]]&lt;25,"Under 25",IF(Data[[#This Row],[Age]]&lt;35,"25–34",IF(Data[[#This Row],[Age]]&lt;45,"35–44",IF(Data[[#This Row],[Age]]&lt;55,"45–54","55+"))))</f>
        <v>Under 25</v>
      </c>
      <c r="H140" t="s">
        <v>49</v>
      </c>
      <c r="I140" t="s">
        <v>18</v>
      </c>
      <c r="J140" t="s">
        <v>37</v>
      </c>
      <c r="K140" s="1">
        <v>41278</v>
      </c>
      <c r="M140" s="1" t="str">
        <f>IF(ISBLANK(Data[[#This Row],[EndDate]]),"Active","InActive")</f>
        <v>Active</v>
      </c>
      <c r="N140" t="s">
        <v>20</v>
      </c>
      <c r="O140" t="s">
        <v>21</v>
      </c>
      <c r="P140" t="s">
        <v>32</v>
      </c>
      <c r="Q140" s="2">
        <v>1862</v>
      </c>
    </row>
    <row r="141" spans="1:17" x14ac:dyDescent="0.2">
      <c r="A141" s="1">
        <v>43435</v>
      </c>
      <c r="B141">
        <v>40404</v>
      </c>
      <c r="C141" t="s">
        <v>79</v>
      </c>
      <c r="D141" t="s">
        <v>29</v>
      </c>
      <c r="E141" t="s">
        <v>36</v>
      </c>
      <c r="F141" s="5">
        <v>19</v>
      </c>
      <c r="G141" t="str">
        <f>IF(Data[[#This Row],[Age]]&lt;25,"Under 25",IF(Data[[#This Row],[Age]]&lt;35,"25–34",IF(Data[[#This Row],[Age]]&lt;45,"35–44",IF(Data[[#This Row],[Age]]&lt;55,"45–54","55+"))))</f>
        <v>Under 25</v>
      </c>
      <c r="H141" t="s">
        <v>49</v>
      </c>
      <c r="I141" t="s">
        <v>18</v>
      </c>
      <c r="J141" t="s">
        <v>37</v>
      </c>
      <c r="K141" s="1">
        <v>41816</v>
      </c>
      <c r="M141" s="1" t="str">
        <f>IF(ISBLANK(Data[[#This Row],[EndDate]]),"Active","InActive")</f>
        <v>Active</v>
      </c>
      <c r="N141" t="s">
        <v>20</v>
      </c>
      <c r="O141" t="s">
        <v>21</v>
      </c>
      <c r="P141" t="s">
        <v>40</v>
      </c>
      <c r="Q141" s="2">
        <v>2821.5</v>
      </c>
    </row>
    <row r="142" spans="1:17" x14ac:dyDescent="0.2">
      <c r="A142" s="1">
        <v>43435</v>
      </c>
      <c r="B142">
        <v>40442</v>
      </c>
      <c r="C142" t="s">
        <v>80</v>
      </c>
      <c r="D142" t="s">
        <v>41</v>
      </c>
      <c r="E142" t="s">
        <v>42</v>
      </c>
      <c r="F142" s="5">
        <v>19</v>
      </c>
      <c r="G142" t="str">
        <f>IF(Data[[#This Row],[Age]]&lt;25,"Under 25",IF(Data[[#This Row],[Age]]&lt;35,"25–34",IF(Data[[#This Row],[Age]]&lt;45,"35–44",IF(Data[[#This Row],[Age]]&lt;55,"45–54","55+"))))</f>
        <v>Under 25</v>
      </c>
      <c r="H142" t="s">
        <v>17</v>
      </c>
      <c r="I142" t="s">
        <v>18</v>
      </c>
      <c r="J142" t="s">
        <v>37</v>
      </c>
      <c r="K142" s="1">
        <v>41703</v>
      </c>
      <c r="M142" s="1" t="str">
        <f>IF(ISBLANK(Data[[#This Row],[EndDate]]),"Active","InActive")</f>
        <v>Active</v>
      </c>
      <c r="N142" t="s">
        <v>20</v>
      </c>
      <c r="O142" t="s">
        <v>21</v>
      </c>
      <c r="P142" t="s">
        <v>40</v>
      </c>
      <c r="Q142" s="2">
        <v>969</v>
      </c>
    </row>
    <row r="143" spans="1:17" x14ac:dyDescent="0.2">
      <c r="A143" s="1">
        <v>43435</v>
      </c>
      <c r="B143">
        <v>40466</v>
      </c>
      <c r="C143" t="s">
        <v>79</v>
      </c>
      <c r="D143" t="s">
        <v>43</v>
      </c>
      <c r="E143" t="s">
        <v>60</v>
      </c>
      <c r="F143" s="5">
        <v>19</v>
      </c>
      <c r="G143" t="str">
        <f>IF(Data[[#This Row],[Age]]&lt;25,"Under 25",IF(Data[[#This Row],[Age]]&lt;35,"25–34",IF(Data[[#This Row],[Age]]&lt;45,"35–44",IF(Data[[#This Row],[Age]]&lt;55,"45–54","55+"))))</f>
        <v>Under 25</v>
      </c>
      <c r="H143" t="s">
        <v>46</v>
      </c>
      <c r="I143" t="s">
        <v>18</v>
      </c>
      <c r="J143" t="s">
        <v>37</v>
      </c>
      <c r="K143" s="1">
        <v>41796</v>
      </c>
      <c r="L143" s="1">
        <v>41916</v>
      </c>
      <c r="M143" s="1" t="str">
        <f>IF(ISBLANK(Data[[#This Row],[EndDate]]),"Active","InActive")</f>
        <v>InActive</v>
      </c>
      <c r="N143" t="s">
        <v>20</v>
      </c>
      <c r="O143" t="s">
        <v>21</v>
      </c>
      <c r="P143" t="s">
        <v>40</v>
      </c>
      <c r="Q143" s="2">
        <v>9500</v>
      </c>
    </row>
    <row r="144" spans="1:17" x14ac:dyDescent="0.2">
      <c r="A144" s="1">
        <v>43435</v>
      </c>
      <c r="B144">
        <v>40492</v>
      </c>
      <c r="C144" t="s">
        <v>79</v>
      </c>
      <c r="D144" t="s">
        <v>27</v>
      </c>
      <c r="E144" t="s">
        <v>74</v>
      </c>
      <c r="F144" s="5">
        <v>19</v>
      </c>
      <c r="G144" t="str">
        <f>IF(Data[[#This Row],[Age]]&lt;25,"Under 25",IF(Data[[#This Row],[Age]]&lt;35,"25–34",IF(Data[[#This Row],[Age]]&lt;45,"35–44",IF(Data[[#This Row],[Age]]&lt;55,"45–54","55+"))))</f>
        <v>Under 25</v>
      </c>
      <c r="H144" t="s">
        <v>31</v>
      </c>
      <c r="I144" t="s">
        <v>18</v>
      </c>
      <c r="J144" t="s">
        <v>37</v>
      </c>
      <c r="K144" s="1">
        <v>41963</v>
      </c>
      <c r="M144" s="1" t="str">
        <f>IF(ISBLANK(Data[[#This Row],[EndDate]]),"Active","InActive")</f>
        <v>Active</v>
      </c>
      <c r="N144" t="s">
        <v>20</v>
      </c>
      <c r="O144" t="s">
        <v>21</v>
      </c>
      <c r="P144" t="s">
        <v>40</v>
      </c>
      <c r="Q144" s="2">
        <v>8901.5</v>
      </c>
    </row>
    <row r="145" spans="1:17" x14ac:dyDescent="0.2">
      <c r="A145" s="1">
        <v>43435</v>
      </c>
      <c r="B145">
        <v>40674</v>
      </c>
      <c r="C145" t="s">
        <v>79</v>
      </c>
      <c r="D145" t="s">
        <v>23</v>
      </c>
      <c r="E145" t="s">
        <v>65</v>
      </c>
      <c r="F145" s="5">
        <v>19</v>
      </c>
      <c r="G145" t="str">
        <f>IF(Data[[#This Row],[Age]]&lt;25,"Under 25",IF(Data[[#This Row],[Age]]&lt;35,"25–34",IF(Data[[#This Row],[Age]]&lt;45,"35–44",IF(Data[[#This Row],[Age]]&lt;55,"45–54","55+"))))</f>
        <v>Under 25</v>
      </c>
      <c r="H145" t="s">
        <v>17</v>
      </c>
      <c r="I145" t="s">
        <v>18</v>
      </c>
      <c r="J145" t="s">
        <v>37</v>
      </c>
      <c r="K145" s="1">
        <v>41915</v>
      </c>
      <c r="M145" s="1" t="str">
        <f>IF(ISBLANK(Data[[#This Row],[EndDate]]),"Active","InActive")</f>
        <v>Active</v>
      </c>
      <c r="N145" t="s">
        <v>20</v>
      </c>
      <c r="O145" t="s">
        <v>21</v>
      </c>
      <c r="P145" t="s">
        <v>40</v>
      </c>
      <c r="Q145" s="2">
        <v>6431.5</v>
      </c>
    </row>
    <row r="146" spans="1:17" x14ac:dyDescent="0.2">
      <c r="A146" s="1">
        <v>43435</v>
      </c>
      <c r="B146">
        <v>43386</v>
      </c>
      <c r="C146" t="s">
        <v>80</v>
      </c>
      <c r="D146" t="s">
        <v>27</v>
      </c>
      <c r="E146" t="s">
        <v>74</v>
      </c>
      <c r="F146" s="5">
        <v>19</v>
      </c>
      <c r="G146" t="str">
        <f>IF(Data[[#This Row],[Age]]&lt;25,"Under 25",IF(Data[[#This Row],[Age]]&lt;35,"25–34",IF(Data[[#This Row],[Age]]&lt;45,"35–44",IF(Data[[#This Row],[Age]]&lt;55,"45–54","55+"))))</f>
        <v>Under 25</v>
      </c>
      <c r="H146" t="s">
        <v>34</v>
      </c>
      <c r="I146" t="s">
        <v>18</v>
      </c>
      <c r="J146" t="s">
        <v>37</v>
      </c>
      <c r="K146" s="1">
        <v>41958</v>
      </c>
      <c r="M146" s="1" t="str">
        <f>IF(ISBLANK(Data[[#This Row],[EndDate]]),"Active","InActive")</f>
        <v>Active</v>
      </c>
      <c r="N146" t="s">
        <v>20</v>
      </c>
      <c r="O146" t="s">
        <v>21</v>
      </c>
      <c r="P146" t="s">
        <v>40</v>
      </c>
      <c r="Q146" s="2">
        <v>6089.5</v>
      </c>
    </row>
    <row r="147" spans="1:17" x14ac:dyDescent="0.2">
      <c r="A147" s="1">
        <v>43435</v>
      </c>
      <c r="B147">
        <v>43428</v>
      </c>
      <c r="C147" t="s">
        <v>79</v>
      </c>
      <c r="D147" t="s">
        <v>43</v>
      </c>
      <c r="E147" t="s">
        <v>60</v>
      </c>
      <c r="F147" s="5">
        <v>19</v>
      </c>
      <c r="G147" t="str">
        <f>IF(Data[[#This Row],[Age]]&lt;25,"Under 25",IF(Data[[#This Row],[Age]]&lt;35,"25–34",IF(Data[[#This Row],[Age]]&lt;45,"35–44",IF(Data[[#This Row],[Age]]&lt;55,"45–54","55+"))))</f>
        <v>Under 25</v>
      </c>
      <c r="H147" t="s">
        <v>31</v>
      </c>
      <c r="I147" t="s">
        <v>18</v>
      </c>
      <c r="J147" t="s">
        <v>37</v>
      </c>
      <c r="K147" s="1">
        <v>41494</v>
      </c>
      <c r="M147" s="1" t="str">
        <f>IF(ISBLANK(Data[[#This Row],[EndDate]]),"Active","InActive")</f>
        <v>Active</v>
      </c>
      <c r="N147" t="s">
        <v>20</v>
      </c>
      <c r="O147" t="s">
        <v>21</v>
      </c>
      <c r="P147" t="s">
        <v>40</v>
      </c>
      <c r="Q147" s="2">
        <v>8664</v>
      </c>
    </row>
    <row r="148" spans="1:17" x14ac:dyDescent="0.2">
      <c r="A148" s="1">
        <v>43435</v>
      </c>
      <c r="B148">
        <v>43626</v>
      </c>
      <c r="C148" t="s">
        <v>80</v>
      </c>
      <c r="D148" t="s">
        <v>38</v>
      </c>
      <c r="E148" t="s">
        <v>45</v>
      </c>
      <c r="F148" s="5">
        <v>19</v>
      </c>
      <c r="G148" t="str">
        <f>IF(Data[[#This Row],[Age]]&lt;25,"Under 25",IF(Data[[#This Row],[Age]]&lt;35,"25–34",IF(Data[[#This Row],[Age]]&lt;45,"35–44",IF(Data[[#This Row],[Age]]&lt;55,"45–54","55+"))))</f>
        <v>Under 25</v>
      </c>
      <c r="H148" t="s">
        <v>25</v>
      </c>
      <c r="I148" t="s">
        <v>18</v>
      </c>
      <c r="J148" t="s">
        <v>37</v>
      </c>
      <c r="K148" s="1">
        <v>41607</v>
      </c>
      <c r="L148" s="1">
        <v>41727</v>
      </c>
      <c r="M148" s="1" t="str">
        <f>IF(ISBLANK(Data[[#This Row],[EndDate]]),"Active","InActive")</f>
        <v>InActive</v>
      </c>
      <c r="N148" t="s">
        <v>20</v>
      </c>
      <c r="O148" t="s">
        <v>21</v>
      </c>
      <c r="P148" t="s">
        <v>40</v>
      </c>
      <c r="Q148" s="2">
        <v>5918.5</v>
      </c>
    </row>
    <row r="149" spans="1:17" x14ac:dyDescent="0.2">
      <c r="A149" s="1">
        <v>42705</v>
      </c>
      <c r="B149">
        <v>100634</v>
      </c>
      <c r="C149" t="s">
        <v>79</v>
      </c>
      <c r="D149" t="s">
        <v>15</v>
      </c>
      <c r="E149" t="s">
        <v>58</v>
      </c>
      <c r="F149" s="5">
        <v>19</v>
      </c>
      <c r="G149" t="str">
        <f>IF(Data[[#This Row],[Age]]&lt;25,"Under 25",IF(Data[[#This Row],[Age]]&lt;35,"25–34",IF(Data[[#This Row],[Age]]&lt;45,"35–44",IF(Data[[#This Row],[Age]]&lt;55,"45–54","55+"))))</f>
        <v>Under 25</v>
      </c>
      <c r="H149" t="s">
        <v>59</v>
      </c>
      <c r="I149" t="s">
        <v>18</v>
      </c>
      <c r="J149" t="s">
        <v>35</v>
      </c>
      <c r="K149" s="1">
        <v>41244</v>
      </c>
      <c r="M149" s="1" t="str">
        <f>IF(ISBLANK(Data[[#This Row],[EndDate]]),"Active","InActive")</f>
        <v>Active</v>
      </c>
      <c r="N149" t="s">
        <v>20</v>
      </c>
      <c r="O149" t="s">
        <v>21</v>
      </c>
      <c r="P149" t="s">
        <v>22</v>
      </c>
      <c r="Q149" s="2">
        <v>8949</v>
      </c>
    </row>
    <row r="150" spans="1:17" x14ac:dyDescent="0.2">
      <c r="A150" s="1">
        <v>43070</v>
      </c>
      <c r="B150">
        <v>16082</v>
      </c>
      <c r="C150" t="s">
        <v>79</v>
      </c>
      <c r="D150" t="s">
        <v>29</v>
      </c>
      <c r="E150" t="s">
        <v>30</v>
      </c>
      <c r="F150" s="5">
        <v>19</v>
      </c>
      <c r="G150" t="str">
        <f>IF(Data[[#This Row],[Age]]&lt;25,"Under 25",IF(Data[[#This Row],[Age]]&lt;35,"25–34",IF(Data[[#This Row],[Age]]&lt;45,"35–44",IF(Data[[#This Row],[Age]]&lt;55,"45–54","55+"))))</f>
        <v>Under 25</v>
      </c>
      <c r="H150" t="s">
        <v>31</v>
      </c>
      <c r="I150" t="s">
        <v>18</v>
      </c>
      <c r="J150" t="s">
        <v>37</v>
      </c>
      <c r="K150" s="1">
        <v>41608</v>
      </c>
      <c r="M150" s="1" t="str">
        <f>IF(ISBLANK(Data[[#This Row],[EndDate]]),"Active","InActive")</f>
        <v>Active</v>
      </c>
      <c r="N150" t="s">
        <v>20</v>
      </c>
      <c r="O150" t="s">
        <v>21</v>
      </c>
      <c r="P150" t="s">
        <v>32</v>
      </c>
      <c r="Q150" s="2">
        <v>2441.5</v>
      </c>
    </row>
    <row r="151" spans="1:17" x14ac:dyDescent="0.2">
      <c r="A151" s="1">
        <v>43070</v>
      </c>
      <c r="B151">
        <v>32462</v>
      </c>
      <c r="C151" t="s">
        <v>79</v>
      </c>
      <c r="D151" t="s">
        <v>50</v>
      </c>
      <c r="E151" t="s">
        <v>55</v>
      </c>
      <c r="F151" s="5">
        <v>19</v>
      </c>
      <c r="G151" t="str">
        <f>IF(Data[[#This Row],[Age]]&lt;25,"Under 25",IF(Data[[#This Row],[Age]]&lt;35,"25–34",IF(Data[[#This Row],[Age]]&lt;45,"35–44",IF(Data[[#This Row],[Age]]&lt;55,"45–54","55+"))))</f>
        <v>Under 25</v>
      </c>
      <c r="H151" t="s">
        <v>34</v>
      </c>
      <c r="I151" t="s">
        <v>18</v>
      </c>
      <c r="J151" t="s">
        <v>35</v>
      </c>
      <c r="K151" s="1">
        <v>41606</v>
      </c>
      <c r="M151" s="1" t="str">
        <f>IF(ISBLANK(Data[[#This Row],[EndDate]]),"Active","InActive")</f>
        <v>Active</v>
      </c>
      <c r="N151" t="s">
        <v>20</v>
      </c>
      <c r="O151" t="s">
        <v>21</v>
      </c>
      <c r="P151" t="s">
        <v>32</v>
      </c>
      <c r="Q151" s="2">
        <v>7343.5</v>
      </c>
    </row>
    <row r="152" spans="1:17" x14ac:dyDescent="0.2">
      <c r="A152" s="1">
        <v>43435</v>
      </c>
      <c r="B152">
        <v>9218</v>
      </c>
      <c r="C152" t="s">
        <v>80</v>
      </c>
      <c r="D152" t="s">
        <v>27</v>
      </c>
      <c r="E152" t="s">
        <v>72</v>
      </c>
      <c r="F152" s="5">
        <v>19</v>
      </c>
      <c r="G152" t="str">
        <f>IF(Data[[#This Row],[Age]]&lt;25,"Under 25",IF(Data[[#This Row],[Age]]&lt;35,"25–34",IF(Data[[#This Row],[Age]]&lt;45,"35–44",IF(Data[[#This Row],[Age]]&lt;55,"45–54","55+"))))</f>
        <v>Under 25</v>
      </c>
      <c r="H152" t="s">
        <v>34</v>
      </c>
      <c r="I152" t="s">
        <v>18</v>
      </c>
      <c r="J152" t="s">
        <v>37</v>
      </c>
      <c r="K152" s="1">
        <v>41956</v>
      </c>
      <c r="M152" s="1" t="str">
        <f>IF(ISBLANK(Data[[#This Row],[EndDate]]),"Active","InActive")</f>
        <v>Active</v>
      </c>
      <c r="N152" t="s">
        <v>20</v>
      </c>
      <c r="O152" t="s">
        <v>21</v>
      </c>
      <c r="P152" t="s">
        <v>40</v>
      </c>
      <c r="Q152" s="2">
        <v>6146.5</v>
      </c>
    </row>
    <row r="153" spans="1:17" x14ac:dyDescent="0.2">
      <c r="A153" s="1">
        <v>43435</v>
      </c>
      <c r="B153">
        <v>13474</v>
      </c>
      <c r="C153" t="s">
        <v>80</v>
      </c>
      <c r="D153" t="s">
        <v>27</v>
      </c>
      <c r="E153" t="s">
        <v>72</v>
      </c>
      <c r="F153" s="5">
        <v>19</v>
      </c>
      <c r="G153" t="str">
        <f>IF(Data[[#This Row],[Age]]&lt;25,"Under 25",IF(Data[[#This Row],[Age]]&lt;35,"25–34",IF(Data[[#This Row],[Age]]&lt;45,"35–44",IF(Data[[#This Row],[Age]]&lt;55,"45–54","55+"))))</f>
        <v>Under 25</v>
      </c>
      <c r="H153" t="s">
        <v>31</v>
      </c>
      <c r="I153" t="s">
        <v>18</v>
      </c>
      <c r="J153" t="s">
        <v>26</v>
      </c>
      <c r="K153" s="1">
        <v>41898</v>
      </c>
      <c r="L153" s="1">
        <v>42018</v>
      </c>
      <c r="M153" s="1" t="str">
        <f>IF(ISBLANK(Data[[#This Row],[EndDate]]),"Active","InActive")</f>
        <v>InActive</v>
      </c>
      <c r="N153" t="s">
        <v>20</v>
      </c>
      <c r="O153" t="s">
        <v>21</v>
      </c>
      <c r="P153" t="s">
        <v>40</v>
      </c>
      <c r="Q153" s="2">
        <v>8360</v>
      </c>
    </row>
    <row r="154" spans="1:17" x14ac:dyDescent="0.2">
      <c r="A154" s="1">
        <v>43070</v>
      </c>
      <c r="B154">
        <v>11022</v>
      </c>
      <c r="C154" t="s">
        <v>80</v>
      </c>
      <c r="D154" t="s">
        <v>29</v>
      </c>
      <c r="E154" t="s">
        <v>33</v>
      </c>
      <c r="F154" s="5">
        <v>20</v>
      </c>
      <c r="G154" t="str">
        <f>IF(Data[[#This Row],[Age]]&lt;25,"Under 25",IF(Data[[#This Row],[Age]]&lt;35,"25–34",IF(Data[[#This Row],[Age]]&lt;45,"35–44",IF(Data[[#This Row],[Age]]&lt;55,"45–54","55+"))))</f>
        <v>Under 25</v>
      </c>
      <c r="H154" t="s">
        <v>34</v>
      </c>
      <c r="I154" t="s">
        <v>56</v>
      </c>
      <c r="J154" t="s">
        <v>35</v>
      </c>
      <c r="K154" s="1">
        <v>41619</v>
      </c>
      <c r="M154" s="1" t="str">
        <f>IF(ISBLANK(Data[[#This Row],[EndDate]]),"Active","InActive")</f>
        <v>Active</v>
      </c>
      <c r="N154" t="s">
        <v>57</v>
      </c>
      <c r="O154" t="s">
        <v>21</v>
      </c>
      <c r="P154" t="s">
        <v>32</v>
      </c>
      <c r="Q154" s="2">
        <v>4200</v>
      </c>
    </row>
    <row r="155" spans="1:17" x14ac:dyDescent="0.2">
      <c r="A155" s="1">
        <v>43070</v>
      </c>
      <c r="B155">
        <v>13156</v>
      </c>
      <c r="C155" t="s">
        <v>79</v>
      </c>
      <c r="D155" t="s">
        <v>29</v>
      </c>
      <c r="E155" t="s">
        <v>36</v>
      </c>
      <c r="F155" s="5">
        <v>20</v>
      </c>
      <c r="G155" t="str">
        <f>IF(Data[[#This Row],[Age]]&lt;25,"Under 25",IF(Data[[#This Row],[Age]]&lt;35,"25–34",IF(Data[[#This Row],[Age]]&lt;45,"35–44",IF(Data[[#This Row],[Age]]&lt;55,"45–54","55+"))))</f>
        <v>Under 25</v>
      </c>
      <c r="H155" t="s">
        <v>31</v>
      </c>
      <c r="I155" t="s">
        <v>56</v>
      </c>
      <c r="J155" t="s">
        <v>37</v>
      </c>
      <c r="K155" s="1">
        <v>41625</v>
      </c>
      <c r="M155" s="1" t="str">
        <f>IF(ISBLANK(Data[[#This Row],[EndDate]]),"Active","InActive")</f>
        <v>Active</v>
      </c>
      <c r="N155" t="s">
        <v>57</v>
      </c>
      <c r="O155" t="s">
        <v>21</v>
      </c>
      <c r="P155" t="s">
        <v>32</v>
      </c>
      <c r="Q155" s="2">
        <v>6800</v>
      </c>
    </row>
    <row r="156" spans="1:17" x14ac:dyDescent="0.2">
      <c r="A156" s="1">
        <v>43435</v>
      </c>
      <c r="B156">
        <v>40748</v>
      </c>
      <c r="C156" t="s">
        <v>79</v>
      </c>
      <c r="D156" t="s">
        <v>38</v>
      </c>
      <c r="E156" t="s">
        <v>39</v>
      </c>
      <c r="F156" s="5">
        <v>20</v>
      </c>
      <c r="G156" t="str">
        <f>IF(Data[[#This Row],[Age]]&lt;25,"Under 25",IF(Data[[#This Row],[Age]]&lt;35,"25–34",IF(Data[[#This Row],[Age]]&lt;45,"35–44",IF(Data[[#This Row],[Age]]&lt;55,"45–54","55+"))))</f>
        <v>Under 25</v>
      </c>
      <c r="H156" t="s">
        <v>25</v>
      </c>
      <c r="I156" t="s">
        <v>56</v>
      </c>
      <c r="J156" t="s">
        <v>37</v>
      </c>
      <c r="K156" s="1">
        <v>41978</v>
      </c>
      <c r="L156" s="1">
        <v>42098</v>
      </c>
      <c r="M156" s="1" t="str">
        <f>IF(ISBLANK(Data[[#This Row],[EndDate]]),"Active","InActive")</f>
        <v>InActive</v>
      </c>
      <c r="N156" t="s">
        <v>57</v>
      </c>
      <c r="O156" t="s">
        <v>21</v>
      </c>
      <c r="P156" t="s">
        <v>40</v>
      </c>
      <c r="Q156" s="2">
        <v>7840</v>
      </c>
    </row>
    <row r="157" spans="1:17" x14ac:dyDescent="0.2">
      <c r="A157" s="1">
        <v>42705</v>
      </c>
      <c r="B157">
        <v>41288</v>
      </c>
      <c r="C157" t="s">
        <v>79</v>
      </c>
      <c r="D157" t="s">
        <v>41</v>
      </c>
      <c r="E157" t="s">
        <v>68</v>
      </c>
      <c r="F157" s="5">
        <v>20</v>
      </c>
      <c r="G157" t="str">
        <f>IF(Data[[#This Row],[Age]]&lt;25,"Under 25",IF(Data[[#This Row],[Age]]&lt;35,"25–34",IF(Data[[#This Row],[Age]]&lt;45,"35–44",IF(Data[[#This Row],[Age]]&lt;55,"45–54","55+"))))</f>
        <v>Under 25</v>
      </c>
      <c r="H157" t="s">
        <v>46</v>
      </c>
      <c r="I157" t="s">
        <v>56</v>
      </c>
      <c r="J157" t="s">
        <v>37</v>
      </c>
      <c r="K157" s="1">
        <v>40970</v>
      </c>
      <c r="M157" s="1" t="str">
        <f>IF(ISBLANK(Data[[#This Row],[EndDate]]),"Active","InActive")</f>
        <v>Active</v>
      </c>
      <c r="N157" t="s">
        <v>57</v>
      </c>
      <c r="O157" t="s">
        <v>21</v>
      </c>
      <c r="P157" t="s">
        <v>22</v>
      </c>
      <c r="Q157" s="2">
        <v>9580</v>
      </c>
    </row>
    <row r="158" spans="1:17" x14ac:dyDescent="0.2">
      <c r="A158" s="1">
        <v>42705</v>
      </c>
      <c r="B158">
        <v>50272</v>
      </c>
      <c r="C158" t="s">
        <v>80</v>
      </c>
      <c r="D158" t="s">
        <v>41</v>
      </c>
      <c r="E158" t="s">
        <v>42</v>
      </c>
      <c r="F158" s="5">
        <v>20</v>
      </c>
      <c r="G158" t="str">
        <f>IF(Data[[#This Row],[Age]]&lt;25,"Under 25",IF(Data[[#This Row],[Age]]&lt;35,"25–34",IF(Data[[#This Row],[Age]]&lt;45,"35–44",IF(Data[[#This Row],[Age]]&lt;55,"45–54","55+"))))</f>
        <v>Under 25</v>
      </c>
      <c r="H158" t="s">
        <v>25</v>
      </c>
      <c r="I158" t="s">
        <v>56</v>
      </c>
      <c r="J158" t="s">
        <v>37</v>
      </c>
      <c r="K158" s="1">
        <v>40988</v>
      </c>
      <c r="L158" s="1">
        <v>41023</v>
      </c>
      <c r="M158" s="1" t="str">
        <f>IF(ISBLANK(Data[[#This Row],[EndDate]]),"Active","InActive")</f>
        <v>InActive</v>
      </c>
      <c r="N158" t="s">
        <v>57</v>
      </c>
      <c r="O158" t="s">
        <v>21</v>
      </c>
      <c r="P158" t="s">
        <v>22</v>
      </c>
      <c r="Q158" s="2">
        <v>7110</v>
      </c>
    </row>
    <row r="159" spans="1:17" x14ac:dyDescent="0.2">
      <c r="A159" s="1">
        <v>42705</v>
      </c>
      <c r="B159">
        <v>50396</v>
      </c>
      <c r="C159" t="s">
        <v>79</v>
      </c>
      <c r="D159" t="s">
        <v>15</v>
      </c>
      <c r="E159" t="s">
        <v>16</v>
      </c>
      <c r="F159" s="5">
        <v>20</v>
      </c>
      <c r="G159" t="str">
        <f>IF(Data[[#This Row],[Age]]&lt;25,"Under 25",IF(Data[[#This Row],[Age]]&lt;35,"25–34",IF(Data[[#This Row],[Age]]&lt;45,"35–44",IF(Data[[#This Row],[Age]]&lt;55,"45–54","55+"))))</f>
        <v>Under 25</v>
      </c>
      <c r="H159" t="s">
        <v>49</v>
      </c>
      <c r="I159" t="s">
        <v>56</v>
      </c>
      <c r="J159" t="s">
        <v>37</v>
      </c>
      <c r="K159" s="1">
        <v>41193</v>
      </c>
      <c r="M159" s="1" t="str">
        <f>IF(ISBLANK(Data[[#This Row],[EndDate]]),"Active","InActive")</f>
        <v>Active</v>
      </c>
      <c r="N159" t="s">
        <v>57</v>
      </c>
      <c r="O159" t="s">
        <v>21</v>
      </c>
      <c r="P159" t="s">
        <v>22</v>
      </c>
      <c r="Q159" s="2">
        <v>3550</v>
      </c>
    </row>
    <row r="160" spans="1:17" x14ac:dyDescent="0.2">
      <c r="A160" s="1">
        <v>42705</v>
      </c>
      <c r="B160">
        <v>54356</v>
      </c>
      <c r="C160" t="s">
        <v>80</v>
      </c>
      <c r="D160" t="s">
        <v>50</v>
      </c>
      <c r="E160" t="s">
        <v>63</v>
      </c>
      <c r="F160" s="5">
        <v>20</v>
      </c>
      <c r="G160" t="str">
        <f>IF(Data[[#This Row],[Age]]&lt;25,"Under 25",IF(Data[[#This Row],[Age]]&lt;35,"25–34",IF(Data[[#This Row],[Age]]&lt;45,"35–44",IF(Data[[#This Row],[Age]]&lt;55,"45–54","55+"))))</f>
        <v>Under 25</v>
      </c>
      <c r="H160" t="s">
        <v>34</v>
      </c>
      <c r="I160" t="s">
        <v>56</v>
      </c>
      <c r="J160" t="s">
        <v>35</v>
      </c>
      <c r="K160" s="1">
        <v>41026</v>
      </c>
      <c r="M160" s="1" t="str">
        <f>IF(ISBLANK(Data[[#This Row],[EndDate]]),"Active","InActive")</f>
        <v>Active</v>
      </c>
      <c r="N160" t="s">
        <v>57</v>
      </c>
      <c r="O160" t="s">
        <v>21</v>
      </c>
      <c r="P160" t="s">
        <v>22</v>
      </c>
      <c r="Q160" s="2">
        <v>8110</v>
      </c>
    </row>
    <row r="161" spans="1:17" x14ac:dyDescent="0.2">
      <c r="A161" s="1">
        <v>43070</v>
      </c>
      <c r="B161">
        <v>18994</v>
      </c>
      <c r="C161" t="s">
        <v>79</v>
      </c>
      <c r="D161" t="s">
        <v>15</v>
      </c>
      <c r="E161" t="s">
        <v>70</v>
      </c>
      <c r="F161" s="5">
        <v>20</v>
      </c>
      <c r="G161" t="str">
        <f>IF(Data[[#This Row],[Age]]&lt;25,"Under 25",IF(Data[[#This Row],[Age]]&lt;35,"25–34",IF(Data[[#This Row],[Age]]&lt;45,"35–44",IF(Data[[#This Row],[Age]]&lt;55,"45–54","55+"))))</f>
        <v>Under 25</v>
      </c>
      <c r="H161" t="s">
        <v>46</v>
      </c>
      <c r="I161" t="s">
        <v>56</v>
      </c>
      <c r="J161" t="s">
        <v>37</v>
      </c>
      <c r="K161" s="1">
        <v>41526</v>
      </c>
      <c r="M161" s="1" t="str">
        <f>IF(ISBLANK(Data[[#This Row],[EndDate]]),"Active","InActive")</f>
        <v>Active</v>
      </c>
      <c r="N161" t="s">
        <v>57</v>
      </c>
      <c r="O161" t="s">
        <v>21</v>
      </c>
      <c r="P161" t="s">
        <v>32</v>
      </c>
      <c r="Q161" s="2">
        <v>9520</v>
      </c>
    </row>
    <row r="162" spans="1:17" x14ac:dyDescent="0.2">
      <c r="A162" s="1">
        <v>43070</v>
      </c>
      <c r="B162">
        <v>44066</v>
      </c>
      <c r="C162" t="s">
        <v>80</v>
      </c>
      <c r="D162" t="s">
        <v>47</v>
      </c>
      <c r="E162" t="s">
        <v>48</v>
      </c>
      <c r="F162" s="5">
        <v>20</v>
      </c>
      <c r="G162" t="str">
        <f>IF(Data[[#This Row],[Age]]&lt;25,"Under 25",IF(Data[[#This Row],[Age]]&lt;35,"25–34",IF(Data[[#This Row],[Age]]&lt;45,"35–44",IF(Data[[#This Row],[Age]]&lt;55,"45–54","55+"))))</f>
        <v>Under 25</v>
      </c>
      <c r="H162" t="s">
        <v>59</v>
      </c>
      <c r="I162" t="s">
        <v>56</v>
      </c>
      <c r="J162" t="s">
        <v>37</v>
      </c>
      <c r="K162" s="1">
        <v>41359</v>
      </c>
      <c r="M162" s="1" t="str">
        <f>IF(ISBLANK(Data[[#This Row],[EndDate]]),"Active","InActive")</f>
        <v>Active</v>
      </c>
      <c r="N162" t="s">
        <v>57</v>
      </c>
      <c r="O162" t="s">
        <v>21</v>
      </c>
      <c r="P162" t="s">
        <v>32</v>
      </c>
      <c r="Q162" s="2">
        <v>8790</v>
      </c>
    </row>
    <row r="163" spans="1:17" x14ac:dyDescent="0.2">
      <c r="A163" s="1">
        <v>43070</v>
      </c>
      <c r="B163">
        <v>54518</v>
      </c>
      <c r="C163" t="s">
        <v>80</v>
      </c>
      <c r="D163" t="s">
        <v>38</v>
      </c>
      <c r="E163" t="s">
        <v>45</v>
      </c>
      <c r="F163" s="5">
        <v>20</v>
      </c>
      <c r="G163" t="str">
        <f>IF(Data[[#This Row],[Age]]&lt;25,"Under 25",IF(Data[[#This Row],[Age]]&lt;35,"25–34",IF(Data[[#This Row],[Age]]&lt;45,"35–44",IF(Data[[#This Row],[Age]]&lt;55,"45–54","55+"))))</f>
        <v>Under 25</v>
      </c>
      <c r="H163" t="s">
        <v>31</v>
      </c>
      <c r="I163" t="s">
        <v>56</v>
      </c>
      <c r="J163" t="s">
        <v>37</v>
      </c>
      <c r="K163" s="1">
        <v>41586</v>
      </c>
      <c r="M163" s="1" t="str">
        <f>IF(ISBLANK(Data[[#This Row],[EndDate]]),"Active","InActive")</f>
        <v>Active</v>
      </c>
      <c r="N163" t="s">
        <v>57</v>
      </c>
      <c r="O163" t="s">
        <v>21</v>
      </c>
      <c r="P163" t="s">
        <v>32</v>
      </c>
      <c r="Q163" s="2">
        <v>1600</v>
      </c>
    </row>
    <row r="164" spans="1:17" x14ac:dyDescent="0.2">
      <c r="A164" s="1">
        <v>43435</v>
      </c>
      <c r="B164">
        <v>40416</v>
      </c>
      <c r="C164" t="s">
        <v>79</v>
      </c>
      <c r="D164" t="s">
        <v>15</v>
      </c>
      <c r="E164" t="s">
        <v>58</v>
      </c>
      <c r="F164" s="5">
        <v>20</v>
      </c>
      <c r="G164" t="str">
        <f>IF(Data[[#This Row],[Age]]&lt;25,"Under 25",IF(Data[[#This Row],[Age]]&lt;35,"25–34",IF(Data[[#This Row],[Age]]&lt;45,"35–44",IF(Data[[#This Row],[Age]]&lt;55,"45–54","55+"))))</f>
        <v>Under 25</v>
      </c>
      <c r="H164" t="s">
        <v>59</v>
      </c>
      <c r="I164" t="s">
        <v>56</v>
      </c>
      <c r="J164" t="s">
        <v>37</v>
      </c>
      <c r="K164" s="1">
        <v>41415</v>
      </c>
      <c r="M164" s="1" t="str">
        <f>IF(ISBLANK(Data[[#This Row],[EndDate]]),"Active","InActive")</f>
        <v>Active</v>
      </c>
      <c r="N164" t="s">
        <v>57</v>
      </c>
      <c r="O164" t="s">
        <v>21</v>
      </c>
      <c r="P164" t="s">
        <v>40</v>
      </c>
      <c r="Q164" s="2">
        <v>7460</v>
      </c>
    </row>
    <row r="165" spans="1:17" x14ac:dyDescent="0.2">
      <c r="A165" s="1">
        <v>43435</v>
      </c>
      <c r="B165">
        <v>55646</v>
      </c>
      <c r="C165" t="s">
        <v>80</v>
      </c>
      <c r="D165" t="s">
        <v>47</v>
      </c>
      <c r="E165" t="s">
        <v>64</v>
      </c>
      <c r="F165" s="5">
        <v>20</v>
      </c>
      <c r="G165" t="str">
        <f>IF(Data[[#This Row],[Age]]&lt;25,"Under 25",IF(Data[[#This Row],[Age]]&lt;35,"25–34",IF(Data[[#This Row],[Age]]&lt;45,"35–44",IF(Data[[#This Row],[Age]]&lt;55,"45–54","55+"))))</f>
        <v>Under 25</v>
      </c>
      <c r="H165" t="s">
        <v>49</v>
      </c>
      <c r="I165" t="s">
        <v>56</v>
      </c>
      <c r="J165" t="s">
        <v>37</v>
      </c>
      <c r="K165" s="1">
        <v>41591</v>
      </c>
      <c r="M165" s="1" t="str">
        <f>IF(ISBLANK(Data[[#This Row],[EndDate]]),"Active","InActive")</f>
        <v>Active</v>
      </c>
      <c r="N165" t="s">
        <v>57</v>
      </c>
      <c r="O165" t="s">
        <v>21</v>
      </c>
      <c r="P165" t="s">
        <v>40</v>
      </c>
      <c r="Q165" s="2">
        <v>7230</v>
      </c>
    </row>
    <row r="166" spans="1:17" x14ac:dyDescent="0.2">
      <c r="A166" s="1">
        <v>42705</v>
      </c>
      <c r="B166">
        <v>55730</v>
      </c>
      <c r="C166" t="s">
        <v>80</v>
      </c>
      <c r="D166" t="s">
        <v>15</v>
      </c>
      <c r="E166" t="s">
        <v>70</v>
      </c>
      <c r="F166" s="5">
        <v>20</v>
      </c>
      <c r="G166" t="str">
        <f>IF(Data[[#This Row],[Age]]&lt;25,"Under 25",IF(Data[[#This Row],[Age]]&lt;35,"25–34",IF(Data[[#This Row],[Age]]&lt;45,"35–44",IF(Data[[#This Row],[Age]]&lt;55,"45–54","55+"))))</f>
        <v>Under 25</v>
      </c>
      <c r="H166" t="s">
        <v>49</v>
      </c>
      <c r="I166" t="s">
        <v>18</v>
      </c>
      <c r="J166" t="s">
        <v>35</v>
      </c>
      <c r="K166" s="1">
        <v>40417</v>
      </c>
      <c r="M166" s="1" t="str">
        <f>IF(ISBLANK(Data[[#This Row],[EndDate]]),"Active","InActive")</f>
        <v>Active</v>
      </c>
      <c r="N166" t="s">
        <v>20</v>
      </c>
      <c r="O166" t="s">
        <v>21</v>
      </c>
      <c r="P166" t="s">
        <v>22</v>
      </c>
      <c r="Q166" s="2">
        <v>3950</v>
      </c>
    </row>
    <row r="167" spans="1:17" x14ac:dyDescent="0.2">
      <c r="A167" s="1">
        <v>42705</v>
      </c>
      <c r="B167">
        <v>104016</v>
      </c>
      <c r="C167" t="s">
        <v>80</v>
      </c>
      <c r="D167" t="s">
        <v>41</v>
      </c>
      <c r="E167" t="s">
        <v>68</v>
      </c>
      <c r="F167" s="5">
        <v>20</v>
      </c>
      <c r="G167" t="str">
        <f>IF(Data[[#This Row],[Age]]&lt;25,"Under 25",IF(Data[[#This Row],[Age]]&lt;35,"25–34",IF(Data[[#This Row],[Age]]&lt;45,"35–44",IF(Data[[#This Row],[Age]]&lt;55,"45–54","55+"))))</f>
        <v>Under 25</v>
      </c>
      <c r="H167" t="s">
        <v>25</v>
      </c>
      <c r="I167" t="s">
        <v>18</v>
      </c>
      <c r="J167" t="s">
        <v>19</v>
      </c>
      <c r="K167" s="1">
        <v>41193</v>
      </c>
      <c r="M167" s="1" t="str">
        <f>IF(ISBLANK(Data[[#This Row],[EndDate]]),"Active","InActive")</f>
        <v>Active</v>
      </c>
      <c r="N167" t="s">
        <v>20</v>
      </c>
      <c r="O167" t="s">
        <v>21</v>
      </c>
      <c r="P167" t="s">
        <v>22</v>
      </c>
      <c r="Q167" s="2">
        <v>9950</v>
      </c>
    </row>
    <row r="168" spans="1:17" x14ac:dyDescent="0.2">
      <c r="A168" s="1">
        <v>43070</v>
      </c>
      <c r="B168">
        <v>50294</v>
      </c>
      <c r="C168" t="s">
        <v>79</v>
      </c>
      <c r="D168" t="s">
        <v>29</v>
      </c>
      <c r="E168" t="s">
        <v>30</v>
      </c>
      <c r="F168" s="5">
        <v>20</v>
      </c>
      <c r="G168" t="str">
        <f>IF(Data[[#This Row],[Age]]&lt;25,"Under 25",IF(Data[[#This Row],[Age]]&lt;35,"25–34",IF(Data[[#This Row],[Age]]&lt;45,"35–44",IF(Data[[#This Row],[Age]]&lt;55,"45–54","55+"))))</f>
        <v>Under 25</v>
      </c>
      <c r="H168" t="s">
        <v>34</v>
      </c>
      <c r="I168" t="s">
        <v>18</v>
      </c>
      <c r="J168" t="s">
        <v>35</v>
      </c>
      <c r="K168" s="1">
        <v>41597</v>
      </c>
      <c r="M168" s="1" t="str">
        <f>IF(ISBLANK(Data[[#This Row],[EndDate]]),"Active","InActive")</f>
        <v>Active</v>
      </c>
      <c r="N168" t="s">
        <v>20</v>
      </c>
      <c r="O168" t="s">
        <v>21</v>
      </c>
      <c r="P168" t="s">
        <v>32</v>
      </c>
      <c r="Q168" s="2">
        <v>5800</v>
      </c>
    </row>
    <row r="169" spans="1:17" x14ac:dyDescent="0.2">
      <c r="A169" s="1">
        <v>43435</v>
      </c>
      <c r="B169">
        <v>51170</v>
      </c>
      <c r="C169" t="s">
        <v>80</v>
      </c>
      <c r="D169" t="s">
        <v>50</v>
      </c>
      <c r="E169" t="s">
        <v>55</v>
      </c>
      <c r="F169" s="5">
        <v>20</v>
      </c>
      <c r="G169" t="str">
        <f>IF(Data[[#This Row],[Age]]&lt;25,"Under 25",IF(Data[[#This Row],[Age]]&lt;35,"25–34",IF(Data[[#This Row],[Age]]&lt;45,"35–44",IF(Data[[#This Row],[Age]]&lt;55,"45–54","55+"))))</f>
        <v>Under 25</v>
      </c>
      <c r="H169" t="s">
        <v>59</v>
      </c>
      <c r="I169" t="s">
        <v>18</v>
      </c>
      <c r="J169" t="s">
        <v>35</v>
      </c>
      <c r="K169" s="1">
        <v>41923</v>
      </c>
      <c r="M169" s="1" t="str">
        <f>IF(ISBLANK(Data[[#This Row],[EndDate]]),"Active","InActive")</f>
        <v>Active</v>
      </c>
      <c r="N169" t="s">
        <v>20</v>
      </c>
      <c r="O169" t="s">
        <v>21</v>
      </c>
      <c r="P169" t="s">
        <v>40</v>
      </c>
      <c r="Q169" s="2">
        <v>3590</v>
      </c>
    </row>
    <row r="170" spans="1:17" x14ac:dyDescent="0.2">
      <c r="A170" s="1">
        <v>43435</v>
      </c>
      <c r="B170">
        <v>51598</v>
      </c>
      <c r="C170" t="s">
        <v>79</v>
      </c>
      <c r="D170" t="s">
        <v>50</v>
      </c>
      <c r="E170" t="s">
        <v>63</v>
      </c>
      <c r="F170" s="5">
        <v>20</v>
      </c>
      <c r="G170" t="str">
        <f>IF(Data[[#This Row],[Age]]&lt;25,"Under 25",IF(Data[[#This Row],[Age]]&lt;35,"25–34",IF(Data[[#This Row],[Age]]&lt;45,"35–44",IF(Data[[#This Row],[Age]]&lt;55,"45–54","55+"))))</f>
        <v>Under 25</v>
      </c>
      <c r="H170" t="s">
        <v>31</v>
      </c>
      <c r="I170" t="s">
        <v>18</v>
      </c>
      <c r="J170" t="s">
        <v>35</v>
      </c>
      <c r="K170" s="1">
        <v>41796</v>
      </c>
      <c r="M170" s="1" t="str">
        <f>IF(ISBLANK(Data[[#This Row],[EndDate]]),"Active","InActive")</f>
        <v>Active</v>
      </c>
      <c r="N170" t="s">
        <v>20</v>
      </c>
      <c r="O170" t="s">
        <v>21</v>
      </c>
      <c r="P170" t="s">
        <v>40</v>
      </c>
      <c r="Q170" s="2">
        <v>4550</v>
      </c>
    </row>
    <row r="171" spans="1:17" x14ac:dyDescent="0.2">
      <c r="A171" s="1">
        <v>43435</v>
      </c>
      <c r="B171">
        <v>51618</v>
      </c>
      <c r="C171" t="s">
        <v>80</v>
      </c>
      <c r="D171" t="s">
        <v>27</v>
      </c>
      <c r="E171" t="s">
        <v>72</v>
      </c>
      <c r="F171" s="5">
        <v>20</v>
      </c>
      <c r="G171" t="str">
        <f>IF(Data[[#This Row],[Age]]&lt;25,"Under 25",IF(Data[[#This Row],[Age]]&lt;35,"25–34",IF(Data[[#This Row],[Age]]&lt;45,"35–44",IF(Data[[#This Row],[Age]]&lt;55,"45–54","55+"))))</f>
        <v>Under 25</v>
      </c>
      <c r="H171" t="s">
        <v>25</v>
      </c>
      <c r="I171" t="s">
        <v>18</v>
      </c>
      <c r="J171" t="s">
        <v>35</v>
      </c>
      <c r="K171" s="1">
        <v>41766</v>
      </c>
      <c r="M171" s="1" t="str">
        <f>IF(ISBLANK(Data[[#This Row],[EndDate]]),"Active","InActive")</f>
        <v>Active</v>
      </c>
      <c r="N171" t="s">
        <v>20</v>
      </c>
      <c r="O171" t="s">
        <v>21</v>
      </c>
      <c r="P171" t="s">
        <v>40</v>
      </c>
      <c r="Q171" s="2">
        <v>6350</v>
      </c>
    </row>
    <row r="172" spans="1:17" x14ac:dyDescent="0.2">
      <c r="A172" s="1">
        <v>43435</v>
      </c>
      <c r="B172">
        <v>53806</v>
      </c>
      <c r="C172" t="s">
        <v>79</v>
      </c>
      <c r="D172" t="s">
        <v>52</v>
      </c>
      <c r="E172" t="s">
        <v>69</v>
      </c>
      <c r="F172" s="5">
        <v>20</v>
      </c>
      <c r="G172" t="str">
        <f>IF(Data[[#This Row],[Age]]&lt;25,"Under 25",IF(Data[[#This Row],[Age]]&lt;35,"25–34",IF(Data[[#This Row],[Age]]&lt;45,"35–44",IF(Data[[#This Row],[Age]]&lt;55,"45–54","55+"))))</f>
        <v>Under 25</v>
      </c>
      <c r="H172" t="s">
        <v>25</v>
      </c>
      <c r="I172" t="s">
        <v>18</v>
      </c>
      <c r="J172" t="s">
        <v>35</v>
      </c>
      <c r="K172" s="1">
        <v>41943</v>
      </c>
      <c r="M172" s="1" t="str">
        <f>IF(ISBLANK(Data[[#This Row],[EndDate]]),"Active","InActive")</f>
        <v>Active</v>
      </c>
      <c r="N172" t="s">
        <v>20</v>
      </c>
      <c r="O172" t="s">
        <v>21</v>
      </c>
      <c r="P172" t="s">
        <v>40</v>
      </c>
      <c r="Q172" s="2">
        <v>6170</v>
      </c>
    </row>
    <row r="173" spans="1:17" x14ac:dyDescent="0.2">
      <c r="A173" s="1">
        <v>43435</v>
      </c>
      <c r="B173">
        <v>56262</v>
      </c>
      <c r="C173" t="s">
        <v>79</v>
      </c>
      <c r="D173" t="s">
        <v>29</v>
      </c>
      <c r="E173" t="s">
        <v>36</v>
      </c>
      <c r="F173" s="5">
        <v>20</v>
      </c>
      <c r="G173" t="str">
        <f>IF(Data[[#This Row],[Age]]&lt;25,"Under 25",IF(Data[[#This Row],[Age]]&lt;35,"25–34",IF(Data[[#This Row],[Age]]&lt;45,"35–44",IF(Data[[#This Row],[Age]]&lt;55,"45–54","55+"))))</f>
        <v>Under 25</v>
      </c>
      <c r="H173" t="s">
        <v>34</v>
      </c>
      <c r="I173" t="s">
        <v>18</v>
      </c>
      <c r="J173" t="s">
        <v>35</v>
      </c>
      <c r="K173" s="1">
        <v>41891</v>
      </c>
      <c r="M173" s="1" t="str">
        <f>IF(ISBLANK(Data[[#This Row],[EndDate]]),"Active","InActive")</f>
        <v>Active</v>
      </c>
      <c r="N173" t="s">
        <v>20</v>
      </c>
      <c r="O173" t="s">
        <v>21</v>
      </c>
      <c r="P173" t="s">
        <v>40</v>
      </c>
      <c r="Q173" s="2">
        <v>7680</v>
      </c>
    </row>
    <row r="174" spans="1:17" x14ac:dyDescent="0.2">
      <c r="A174" s="1">
        <v>43435</v>
      </c>
      <c r="B174">
        <v>96252</v>
      </c>
      <c r="C174" t="s">
        <v>79</v>
      </c>
      <c r="D174" t="s">
        <v>27</v>
      </c>
      <c r="E174" t="s">
        <v>28</v>
      </c>
      <c r="F174" s="5">
        <v>20</v>
      </c>
      <c r="G174" t="str">
        <f>IF(Data[[#This Row],[Age]]&lt;25,"Under 25",IF(Data[[#This Row],[Age]]&lt;35,"25–34",IF(Data[[#This Row],[Age]]&lt;45,"35–44",IF(Data[[#This Row],[Age]]&lt;55,"45–54","55+"))))</f>
        <v>Under 25</v>
      </c>
      <c r="H174" t="s">
        <v>34</v>
      </c>
      <c r="I174" t="s">
        <v>18</v>
      </c>
      <c r="J174" t="s">
        <v>19</v>
      </c>
      <c r="K174" s="1">
        <v>41968</v>
      </c>
      <c r="M174" s="1" t="str">
        <f>IF(ISBLANK(Data[[#This Row],[EndDate]]),"Active","InActive")</f>
        <v>Active</v>
      </c>
      <c r="N174" t="s">
        <v>20</v>
      </c>
      <c r="O174" t="s">
        <v>21</v>
      </c>
      <c r="P174" t="s">
        <v>40</v>
      </c>
      <c r="Q174" s="2">
        <v>7440</v>
      </c>
    </row>
    <row r="175" spans="1:17" x14ac:dyDescent="0.2">
      <c r="A175" s="1">
        <v>43435</v>
      </c>
      <c r="B175">
        <v>97712</v>
      </c>
      <c r="C175" t="s">
        <v>80</v>
      </c>
      <c r="D175" t="s">
        <v>38</v>
      </c>
      <c r="E175" t="s">
        <v>39</v>
      </c>
      <c r="F175" s="5">
        <v>20</v>
      </c>
      <c r="G175" t="str">
        <f>IF(Data[[#This Row],[Age]]&lt;25,"Under 25",IF(Data[[#This Row],[Age]]&lt;35,"25–34",IF(Data[[#This Row],[Age]]&lt;45,"35–44",IF(Data[[#This Row],[Age]]&lt;55,"45–54","55+"))))</f>
        <v>Under 25</v>
      </c>
      <c r="H175" t="s">
        <v>59</v>
      </c>
      <c r="I175" t="s">
        <v>18</v>
      </c>
      <c r="J175" t="s">
        <v>19</v>
      </c>
      <c r="K175" s="1">
        <v>41758</v>
      </c>
      <c r="L175" s="1">
        <v>41878</v>
      </c>
      <c r="M175" s="1" t="str">
        <f>IF(ISBLANK(Data[[#This Row],[EndDate]]),"Active","InActive")</f>
        <v>InActive</v>
      </c>
      <c r="N175" t="s">
        <v>20</v>
      </c>
      <c r="O175" t="s">
        <v>21</v>
      </c>
      <c r="P175" t="s">
        <v>40</v>
      </c>
      <c r="Q175" s="2">
        <v>4410</v>
      </c>
    </row>
    <row r="176" spans="1:17" x14ac:dyDescent="0.2">
      <c r="A176" s="1">
        <v>43435</v>
      </c>
      <c r="B176">
        <v>98012</v>
      </c>
      <c r="C176" t="s">
        <v>79</v>
      </c>
      <c r="D176" t="s">
        <v>47</v>
      </c>
      <c r="E176" t="s">
        <v>64</v>
      </c>
      <c r="F176" s="5">
        <v>20</v>
      </c>
      <c r="G176" t="str">
        <f>IF(Data[[#This Row],[Age]]&lt;25,"Under 25",IF(Data[[#This Row],[Age]]&lt;35,"25–34",IF(Data[[#This Row],[Age]]&lt;45,"35–44",IF(Data[[#This Row],[Age]]&lt;55,"45–54","55+"))))</f>
        <v>Under 25</v>
      </c>
      <c r="H176" t="s">
        <v>25</v>
      </c>
      <c r="I176" t="s">
        <v>18</v>
      </c>
      <c r="J176" t="s">
        <v>19</v>
      </c>
      <c r="K176" s="1">
        <v>41956</v>
      </c>
      <c r="M176" s="1" t="str">
        <f>IF(ISBLANK(Data[[#This Row],[EndDate]]),"Active","InActive")</f>
        <v>Active</v>
      </c>
      <c r="N176" t="s">
        <v>20</v>
      </c>
      <c r="O176" t="s">
        <v>21</v>
      </c>
      <c r="P176" t="s">
        <v>40</v>
      </c>
      <c r="Q176" s="2">
        <v>4250</v>
      </c>
    </row>
    <row r="177" spans="1:17" x14ac:dyDescent="0.2">
      <c r="A177" s="1">
        <v>43435</v>
      </c>
      <c r="B177">
        <v>98546</v>
      </c>
      <c r="C177" t="s">
        <v>79</v>
      </c>
      <c r="D177" t="s">
        <v>52</v>
      </c>
      <c r="E177" t="s">
        <v>53</v>
      </c>
      <c r="F177" s="5">
        <v>20</v>
      </c>
      <c r="G177" t="str">
        <f>IF(Data[[#This Row],[Age]]&lt;25,"Under 25",IF(Data[[#This Row],[Age]]&lt;35,"25–34",IF(Data[[#This Row],[Age]]&lt;45,"35–44",IF(Data[[#This Row],[Age]]&lt;55,"45–54","55+"))))</f>
        <v>Under 25</v>
      </c>
      <c r="H177" t="s">
        <v>46</v>
      </c>
      <c r="I177" t="s">
        <v>18</v>
      </c>
      <c r="J177" t="s">
        <v>19</v>
      </c>
      <c r="K177" s="1">
        <v>41940</v>
      </c>
      <c r="M177" s="1" t="str">
        <f>IF(ISBLANK(Data[[#This Row],[EndDate]]),"Active","InActive")</f>
        <v>Active</v>
      </c>
      <c r="N177" t="s">
        <v>20</v>
      </c>
      <c r="O177" t="s">
        <v>21</v>
      </c>
      <c r="P177" t="s">
        <v>40</v>
      </c>
      <c r="Q177" s="2">
        <v>2010</v>
      </c>
    </row>
    <row r="178" spans="1:17" x14ac:dyDescent="0.2">
      <c r="A178" s="1">
        <v>43435</v>
      </c>
      <c r="B178">
        <v>98712</v>
      </c>
      <c r="C178" t="s">
        <v>80</v>
      </c>
      <c r="D178" t="s">
        <v>23</v>
      </c>
      <c r="E178" t="s">
        <v>71</v>
      </c>
      <c r="F178" s="5">
        <v>20</v>
      </c>
      <c r="G178" t="str">
        <f>IF(Data[[#This Row],[Age]]&lt;25,"Under 25",IF(Data[[#This Row],[Age]]&lt;35,"25–34",IF(Data[[#This Row],[Age]]&lt;45,"35–44",IF(Data[[#This Row],[Age]]&lt;55,"45–54","55+"))))</f>
        <v>Under 25</v>
      </c>
      <c r="H178" t="s">
        <v>59</v>
      </c>
      <c r="I178" t="s">
        <v>18</v>
      </c>
      <c r="J178" t="s">
        <v>19</v>
      </c>
      <c r="K178" s="1">
        <v>41928</v>
      </c>
      <c r="L178" s="1">
        <v>42048</v>
      </c>
      <c r="M178" s="1" t="str">
        <f>IF(ISBLANK(Data[[#This Row],[EndDate]]),"Active","InActive")</f>
        <v>InActive</v>
      </c>
      <c r="N178" t="s">
        <v>20</v>
      </c>
      <c r="O178" t="s">
        <v>21</v>
      </c>
      <c r="P178" t="s">
        <v>40</v>
      </c>
      <c r="Q178" s="2">
        <v>5820</v>
      </c>
    </row>
    <row r="179" spans="1:17" x14ac:dyDescent="0.2">
      <c r="A179" s="1">
        <v>42705</v>
      </c>
      <c r="B179">
        <v>102018</v>
      </c>
      <c r="C179" t="s">
        <v>80</v>
      </c>
      <c r="D179" t="s">
        <v>23</v>
      </c>
      <c r="E179" t="s">
        <v>24</v>
      </c>
      <c r="F179" s="5">
        <v>20</v>
      </c>
      <c r="G179" t="str">
        <f>IF(Data[[#This Row],[Age]]&lt;25,"Under 25",IF(Data[[#This Row],[Age]]&lt;35,"25–34",IF(Data[[#This Row],[Age]]&lt;45,"35–44",IF(Data[[#This Row],[Age]]&lt;55,"45–54","55+"))))</f>
        <v>Under 25</v>
      </c>
      <c r="H179" t="s">
        <v>49</v>
      </c>
      <c r="I179" t="s">
        <v>18</v>
      </c>
      <c r="J179" t="s">
        <v>26</v>
      </c>
      <c r="K179" s="1">
        <v>41215</v>
      </c>
      <c r="M179" s="1" t="str">
        <f>IF(ISBLANK(Data[[#This Row],[EndDate]]),"Active","InActive")</f>
        <v>Active</v>
      </c>
      <c r="N179" t="s">
        <v>20</v>
      </c>
      <c r="O179" t="s">
        <v>21</v>
      </c>
      <c r="P179" t="s">
        <v>22</v>
      </c>
      <c r="Q179" s="2">
        <v>3430</v>
      </c>
    </row>
    <row r="180" spans="1:17" x14ac:dyDescent="0.2">
      <c r="A180" s="1">
        <v>42705</v>
      </c>
      <c r="B180">
        <v>110668</v>
      </c>
      <c r="C180" t="s">
        <v>79</v>
      </c>
      <c r="D180" t="s">
        <v>15</v>
      </c>
      <c r="E180" t="s">
        <v>16</v>
      </c>
      <c r="F180" s="5">
        <v>20</v>
      </c>
      <c r="G180" t="str">
        <f>IF(Data[[#This Row],[Age]]&lt;25,"Under 25",IF(Data[[#This Row],[Age]]&lt;35,"25–34",IF(Data[[#This Row],[Age]]&lt;45,"35–44",IF(Data[[#This Row],[Age]]&lt;55,"45–54","55+"))))</f>
        <v>Under 25</v>
      </c>
      <c r="H180" t="s">
        <v>49</v>
      </c>
      <c r="I180" t="s">
        <v>18</v>
      </c>
      <c r="J180" t="s">
        <v>26</v>
      </c>
      <c r="K180" s="1">
        <v>41145</v>
      </c>
      <c r="M180" s="1" t="str">
        <f>IF(ISBLANK(Data[[#This Row],[EndDate]]),"Active","InActive")</f>
        <v>Active</v>
      </c>
      <c r="N180" t="s">
        <v>20</v>
      </c>
      <c r="O180" t="s">
        <v>21</v>
      </c>
      <c r="P180" t="s">
        <v>22</v>
      </c>
      <c r="Q180" s="2">
        <v>1940</v>
      </c>
    </row>
    <row r="181" spans="1:17" x14ac:dyDescent="0.2">
      <c r="A181" s="1">
        <v>43070</v>
      </c>
      <c r="B181">
        <v>17268</v>
      </c>
      <c r="C181" t="s">
        <v>79</v>
      </c>
      <c r="D181" t="s">
        <v>43</v>
      </c>
      <c r="E181" t="s">
        <v>44</v>
      </c>
      <c r="F181" s="5">
        <v>20</v>
      </c>
      <c r="G181" t="str">
        <f>IF(Data[[#This Row],[Age]]&lt;25,"Under 25",IF(Data[[#This Row],[Age]]&lt;35,"25–34",IF(Data[[#This Row],[Age]]&lt;45,"35–44",IF(Data[[#This Row],[Age]]&lt;55,"45–54","55+"))))</f>
        <v>Under 25</v>
      </c>
      <c r="H181" t="s">
        <v>59</v>
      </c>
      <c r="I181" t="s">
        <v>18</v>
      </c>
      <c r="J181" t="s">
        <v>26</v>
      </c>
      <c r="K181" s="1">
        <v>41506</v>
      </c>
      <c r="M181" s="1" t="str">
        <f>IF(ISBLANK(Data[[#This Row],[EndDate]]),"Active","InActive")</f>
        <v>Active</v>
      </c>
      <c r="N181" t="s">
        <v>20</v>
      </c>
      <c r="O181" t="s">
        <v>21</v>
      </c>
      <c r="P181" t="s">
        <v>32</v>
      </c>
      <c r="Q181" s="2">
        <v>7160</v>
      </c>
    </row>
    <row r="182" spans="1:17" x14ac:dyDescent="0.2">
      <c r="A182" s="1">
        <v>43070</v>
      </c>
      <c r="B182">
        <v>25212</v>
      </c>
      <c r="C182" t="s">
        <v>79</v>
      </c>
      <c r="D182" t="s">
        <v>41</v>
      </c>
      <c r="E182" t="s">
        <v>42</v>
      </c>
      <c r="F182" s="5">
        <v>20</v>
      </c>
      <c r="G182" t="str">
        <f>IF(Data[[#This Row],[Age]]&lt;25,"Under 25",IF(Data[[#This Row],[Age]]&lt;35,"25–34",IF(Data[[#This Row],[Age]]&lt;45,"35–44",IF(Data[[#This Row],[Age]]&lt;55,"45–54","55+"))))</f>
        <v>Under 25</v>
      </c>
      <c r="H182" t="s">
        <v>25</v>
      </c>
      <c r="I182" t="s">
        <v>18</v>
      </c>
      <c r="J182" t="s">
        <v>26</v>
      </c>
      <c r="K182" s="1">
        <v>41472</v>
      </c>
      <c r="L182" s="1">
        <v>41572</v>
      </c>
      <c r="M182" s="1" t="str">
        <f>IF(ISBLANK(Data[[#This Row],[EndDate]]),"Active","InActive")</f>
        <v>InActive</v>
      </c>
      <c r="N182" t="s">
        <v>20</v>
      </c>
      <c r="O182" t="s">
        <v>21</v>
      </c>
      <c r="P182" t="s">
        <v>32</v>
      </c>
      <c r="Q182" s="2">
        <v>4830</v>
      </c>
    </row>
    <row r="183" spans="1:17" x14ac:dyDescent="0.2">
      <c r="A183" s="1">
        <v>43070</v>
      </c>
      <c r="B183">
        <v>49976</v>
      </c>
      <c r="C183" t="s">
        <v>79</v>
      </c>
      <c r="D183" t="s">
        <v>23</v>
      </c>
      <c r="E183" t="s">
        <v>24</v>
      </c>
      <c r="F183" s="5">
        <v>20</v>
      </c>
      <c r="G183" t="str">
        <f>IF(Data[[#This Row],[Age]]&lt;25,"Under 25",IF(Data[[#This Row],[Age]]&lt;35,"25–34",IF(Data[[#This Row],[Age]]&lt;45,"35–44",IF(Data[[#This Row],[Age]]&lt;55,"45–54","55+"))))</f>
        <v>Under 25</v>
      </c>
      <c r="H183" t="s">
        <v>46</v>
      </c>
      <c r="I183" t="s">
        <v>18</v>
      </c>
      <c r="J183" t="s">
        <v>26</v>
      </c>
      <c r="K183" s="1">
        <v>41130</v>
      </c>
      <c r="M183" s="1" t="str">
        <f>IF(ISBLANK(Data[[#This Row],[EndDate]]),"Active","InActive")</f>
        <v>Active</v>
      </c>
      <c r="N183" t="s">
        <v>20</v>
      </c>
      <c r="O183" t="s">
        <v>21</v>
      </c>
      <c r="P183" t="s">
        <v>32</v>
      </c>
      <c r="Q183" s="2">
        <v>4340</v>
      </c>
    </row>
    <row r="184" spans="1:17" x14ac:dyDescent="0.2">
      <c r="A184" s="1">
        <v>43070</v>
      </c>
      <c r="B184">
        <v>51690</v>
      </c>
      <c r="C184" t="s">
        <v>79</v>
      </c>
      <c r="D184" t="s">
        <v>50</v>
      </c>
      <c r="E184" t="s">
        <v>55</v>
      </c>
      <c r="F184" s="5">
        <v>20</v>
      </c>
      <c r="G184" t="str">
        <f>IF(Data[[#This Row],[Age]]&lt;25,"Under 25",IF(Data[[#This Row],[Age]]&lt;35,"25–34",IF(Data[[#This Row],[Age]]&lt;45,"35–44",IF(Data[[#This Row],[Age]]&lt;55,"45–54","55+"))))</f>
        <v>Under 25</v>
      </c>
      <c r="H184" t="s">
        <v>49</v>
      </c>
      <c r="I184" t="s">
        <v>18</v>
      </c>
      <c r="J184" t="s">
        <v>26</v>
      </c>
      <c r="K184" s="1">
        <v>41593</v>
      </c>
      <c r="M184" s="1" t="str">
        <f>IF(ISBLANK(Data[[#This Row],[EndDate]]),"Active","InActive")</f>
        <v>Active</v>
      </c>
      <c r="N184" t="s">
        <v>20</v>
      </c>
      <c r="O184" t="s">
        <v>21</v>
      </c>
      <c r="P184" t="s">
        <v>32</v>
      </c>
      <c r="Q184" s="2">
        <v>6680</v>
      </c>
    </row>
    <row r="185" spans="1:17" x14ac:dyDescent="0.2">
      <c r="A185" s="1">
        <v>43435</v>
      </c>
      <c r="B185">
        <v>49590</v>
      </c>
      <c r="C185" t="s">
        <v>79</v>
      </c>
      <c r="D185" t="s">
        <v>23</v>
      </c>
      <c r="E185" t="s">
        <v>71</v>
      </c>
      <c r="F185" s="5">
        <v>20</v>
      </c>
      <c r="G185" t="str">
        <f>IF(Data[[#This Row],[Age]]&lt;25,"Under 25",IF(Data[[#This Row],[Age]]&lt;35,"25–34",IF(Data[[#This Row],[Age]]&lt;45,"35–44",IF(Data[[#This Row],[Age]]&lt;55,"45–54","55+"))))</f>
        <v>Under 25</v>
      </c>
      <c r="H185" t="s">
        <v>59</v>
      </c>
      <c r="I185" t="s">
        <v>18</v>
      </c>
      <c r="J185" t="s">
        <v>26</v>
      </c>
      <c r="K185" s="1">
        <v>41935</v>
      </c>
      <c r="M185" s="1" t="str">
        <f>IF(ISBLANK(Data[[#This Row],[EndDate]]),"Active","InActive")</f>
        <v>Active</v>
      </c>
      <c r="N185" t="s">
        <v>20</v>
      </c>
      <c r="O185" t="s">
        <v>21</v>
      </c>
      <c r="P185" t="s">
        <v>40</v>
      </c>
      <c r="Q185" s="2">
        <v>5380</v>
      </c>
    </row>
    <row r="186" spans="1:17" x14ac:dyDescent="0.2">
      <c r="A186" s="1">
        <v>43435</v>
      </c>
      <c r="B186">
        <v>49602</v>
      </c>
      <c r="C186" t="s">
        <v>79</v>
      </c>
      <c r="D186" t="s">
        <v>23</v>
      </c>
      <c r="E186" t="s">
        <v>24</v>
      </c>
      <c r="F186" s="5">
        <v>20</v>
      </c>
      <c r="G186" t="str">
        <f>IF(Data[[#This Row],[Age]]&lt;25,"Under 25",IF(Data[[#This Row],[Age]]&lt;35,"25–34",IF(Data[[#This Row],[Age]]&lt;45,"35–44",IF(Data[[#This Row],[Age]]&lt;55,"45–54","55+"))))</f>
        <v>Under 25</v>
      </c>
      <c r="H186" t="s">
        <v>31</v>
      </c>
      <c r="I186" t="s">
        <v>18</v>
      </c>
      <c r="J186" t="s">
        <v>26</v>
      </c>
      <c r="K186" s="1">
        <v>41908</v>
      </c>
      <c r="M186" s="1" t="str">
        <f>IF(ISBLANK(Data[[#This Row],[EndDate]]),"Active","InActive")</f>
        <v>Active</v>
      </c>
      <c r="N186" t="s">
        <v>20</v>
      </c>
      <c r="O186" t="s">
        <v>21</v>
      </c>
      <c r="P186" t="s">
        <v>40</v>
      </c>
      <c r="Q186" s="2">
        <v>1450</v>
      </c>
    </row>
    <row r="187" spans="1:17" x14ac:dyDescent="0.2">
      <c r="A187" s="1">
        <v>43435</v>
      </c>
      <c r="B187">
        <v>50334</v>
      </c>
      <c r="C187" t="s">
        <v>79</v>
      </c>
      <c r="D187" t="s">
        <v>50</v>
      </c>
      <c r="E187" t="s">
        <v>55</v>
      </c>
      <c r="F187" s="5">
        <v>20</v>
      </c>
      <c r="G187" t="str">
        <f>IF(Data[[#This Row],[Age]]&lt;25,"Under 25",IF(Data[[#This Row],[Age]]&lt;35,"25–34",IF(Data[[#This Row],[Age]]&lt;45,"35–44",IF(Data[[#This Row],[Age]]&lt;55,"45–54","55+"))))</f>
        <v>Under 25</v>
      </c>
      <c r="H187" t="s">
        <v>59</v>
      </c>
      <c r="I187" t="s">
        <v>18</v>
      </c>
      <c r="J187" t="s">
        <v>26</v>
      </c>
      <c r="K187" s="1">
        <v>41914</v>
      </c>
      <c r="M187" s="1" t="str">
        <f>IF(ISBLANK(Data[[#This Row],[EndDate]]),"Active","InActive")</f>
        <v>Active</v>
      </c>
      <c r="N187" t="s">
        <v>20</v>
      </c>
      <c r="O187" t="s">
        <v>21</v>
      </c>
      <c r="P187" t="s">
        <v>40</v>
      </c>
      <c r="Q187" s="2">
        <v>3830</v>
      </c>
    </row>
    <row r="188" spans="1:17" x14ac:dyDescent="0.2">
      <c r="A188" s="1">
        <v>43435</v>
      </c>
      <c r="B188">
        <v>50984</v>
      </c>
      <c r="C188" t="s">
        <v>80</v>
      </c>
      <c r="D188" t="s">
        <v>47</v>
      </c>
      <c r="E188" t="s">
        <v>73</v>
      </c>
      <c r="F188" s="5">
        <v>20</v>
      </c>
      <c r="G188" t="str">
        <f>IF(Data[[#This Row],[Age]]&lt;25,"Under 25",IF(Data[[#This Row],[Age]]&lt;35,"25–34",IF(Data[[#This Row],[Age]]&lt;45,"35–44",IF(Data[[#This Row],[Age]]&lt;55,"45–54","55+"))))</f>
        <v>Under 25</v>
      </c>
      <c r="H188" t="s">
        <v>46</v>
      </c>
      <c r="I188" t="s">
        <v>18</v>
      </c>
      <c r="J188" t="s">
        <v>26</v>
      </c>
      <c r="K188" s="1">
        <v>41852</v>
      </c>
      <c r="M188" s="1" t="str">
        <f>IF(ISBLANK(Data[[#This Row],[EndDate]]),"Active","InActive")</f>
        <v>Active</v>
      </c>
      <c r="N188" t="s">
        <v>20</v>
      </c>
      <c r="O188" t="s">
        <v>21</v>
      </c>
      <c r="P188" t="s">
        <v>40</v>
      </c>
      <c r="Q188" s="2">
        <v>8180</v>
      </c>
    </row>
    <row r="189" spans="1:17" x14ac:dyDescent="0.2">
      <c r="A189" s="1">
        <v>43435</v>
      </c>
      <c r="B189">
        <v>53938</v>
      </c>
      <c r="C189" t="s">
        <v>79</v>
      </c>
      <c r="D189" t="s">
        <v>41</v>
      </c>
      <c r="E189" t="s">
        <v>68</v>
      </c>
      <c r="F189" s="5">
        <v>20</v>
      </c>
      <c r="G189" t="str">
        <f>IF(Data[[#This Row],[Age]]&lt;25,"Under 25",IF(Data[[#This Row],[Age]]&lt;35,"25–34",IF(Data[[#This Row],[Age]]&lt;45,"35–44",IF(Data[[#This Row],[Age]]&lt;55,"45–54","55+"))))</f>
        <v>Under 25</v>
      </c>
      <c r="H189" t="s">
        <v>25</v>
      </c>
      <c r="I189" t="s">
        <v>18</v>
      </c>
      <c r="J189" t="s">
        <v>26</v>
      </c>
      <c r="K189" s="1">
        <v>41403</v>
      </c>
      <c r="M189" s="1" t="str">
        <f>IF(ISBLANK(Data[[#This Row],[EndDate]]),"Active","InActive")</f>
        <v>Active</v>
      </c>
      <c r="N189" t="s">
        <v>20</v>
      </c>
      <c r="O189" t="s">
        <v>21</v>
      </c>
      <c r="P189" t="s">
        <v>40</v>
      </c>
      <c r="Q189" s="2">
        <v>4350</v>
      </c>
    </row>
    <row r="190" spans="1:17" x14ac:dyDescent="0.2">
      <c r="A190" s="1">
        <v>43435</v>
      </c>
      <c r="B190">
        <v>55468</v>
      </c>
      <c r="C190" t="s">
        <v>79</v>
      </c>
      <c r="D190" t="s">
        <v>52</v>
      </c>
      <c r="E190" t="s">
        <v>53</v>
      </c>
      <c r="F190" s="5">
        <v>20</v>
      </c>
      <c r="G190" t="str">
        <f>IF(Data[[#This Row],[Age]]&lt;25,"Under 25",IF(Data[[#This Row],[Age]]&lt;35,"25–34",IF(Data[[#This Row],[Age]]&lt;45,"35–44",IF(Data[[#This Row],[Age]]&lt;55,"45–54","55+"))))</f>
        <v>Under 25</v>
      </c>
      <c r="H190" t="s">
        <v>49</v>
      </c>
      <c r="I190" t="s">
        <v>18</v>
      </c>
      <c r="J190" t="s">
        <v>26</v>
      </c>
      <c r="K190" s="1">
        <v>41039</v>
      </c>
      <c r="M190" s="1" t="str">
        <f>IF(ISBLANK(Data[[#This Row],[EndDate]]),"Active","InActive")</f>
        <v>Active</v>
      </c>
      <c r="N190" t="s">
        <v>20</v>
      </c>
      <c r="O190" t="s">
        <v>21</v>
      </c>
      <c r="P190" t="s">
        <v>40</v>
      </c>
      <c r="Q190" s="2">
        <v>7710</v>
      </c>
    </row>
    <row r="191" spans="1:17" x14ac:dyDescent="0.2">
      <c r="A191" s="1">
        <v>43435</v>
      </c>
      <c r="B191">
        <v>41300</v>
      </c>
      <c r="C191" t="s">
        <v>80</v>
      </c>
      <c r="D191" t="s">
        <v>43</v>
      </c>
      <c r="E191" t="s">
        <v>66</v>
      </c>
      <c r="F191" s="5">
        <v>20</v>
      </c>
      <c r="G191" t="str">
        <f>IF(Data[[#This Row],[Age]]&lt;25,"Under 25",IF(Data[[#This Row],[Age]]&lt;35,"25–34",IF(Data[[#This Row],[Age]]&lt;45,"35–44",IF(Data[[#This Row],[Age]]&lt;55,"45–54","55+"))))</f>
        <v>Under 25</v>
      </c>
      <c r="H191" t="s">
        <v>25</v>
      </c>
      <c r="I191" t="s">
        <v>18</v>
      </c>
      <c r="J191" t="s">
        <v>37</v>
      </c>
      <c r="K191" s="1">
        <v>41961</v>
      </c>
      <c r="M191" s="1" t="str">
        <f>IF(ISBLANK(Data[[#This Row],[EndDate]]),"Active","InActive")</f>
        <v>Active</v>
      </c>
      <c r="N191" t="s">
        <v>20</v>
      </c>
      <c r="O191" t="s">
        <v>21</v>
      </c>
      <c r="P191" t="s">
        <v>40</v>
      </c>
      <c r="Q191" s="2">
        <v>5030</v>
      </c>
    </row>
    <row r="192" spans="1:17" x14ac:dyDescent="0.2">
      <c r="A192" s="1">
        <v>43435</v>
      </c>
      <c r="B192">
        <v>43782</v>
      </c>
      <c r="C192" t="s">
        <v>80</v>
      </c>
      <c r="D192" t="s">
        <v>52</v>
      </c>
      <c r="E192" t="s">
        <v>53</v>
      </c>
      <c r="F192" s="5">
        <v>20</v>
      </c>
      <c r="G192" t="str">
        <f>IF(Data[[#This Row],[Age]]&lt;25,"Under 25",IF(Data[[#This Row],[Age]]&lt;35,"25–34",IF(Data[[#This Row],[Age]]&lt;45,"35–44",IF(Data[[#This Row],[Age]]&lt;55,"45–54","55+"))))</f>
        <v>Under 25</v>
      </c>
      <c r="H192" t="s">
        <v>31</v>
      </c>
      <c r="I192" t="s">
        <v>18</v>
      </c>
      <c r="J192" t="s">
        <v>37</v>
      </c>
      <c r="K192" s="1">
        <v>41934</v>
      </c>
      <c r="M192" s="1" t="str">
        <f>IF(ISBLANK(Data[[#This Row],[EndDate]]),"Active","InActive")</f>
        <v>Active</v>
      </c>
      <c r="N192" t="s">
        <v>20</v>
      </c>
      <c r="O192" t="s">
        <v>21</v>
      </c>
      <c r="P192" t="s">
        <v>40</v>
      </c>
      <c r="Q192" s="2">
        <v>9660</v>
      </c>
    </row>
    <row r="193" spans="1:17" x14ac:dyDescent="0.2">
      <c r="A193" s="1">
        <v>43435</v>
      </c>
      <c r="B193">
        <v>43990</v>
      </c>
      <c r="C193" t="s">
        <v>80</v>
      </c>
      <c r="D193" t="s">
        <v>27</v>
      </c>
      <c r="E193" t="s">
        <v>28</v>
      </c>
      <c r="F193" s="5">
        <v>20</v>
      </c>
      <c r="G193" t="str">
        <f>IF(Data[[#This Row],[Age]]&lt;25,"Under 25",IF(Data[[#This Row],[Age]]&lt;35,"25–34",IF(Data[[#This Row],[Age]]&lt;45,"35–44",IF(Data[[#This Row],[Age]]&lt;55,"45–54","55+"))))</f>
        <v>Under 25</v>
      </c>
      <c r="H193" t="s">
        <v>49</v>
      </c>
      <c r="I193" t="s">
        <v>18</v>
      </c>
      <c r="J193" t="s">
        <v>37</v>
      </c>
      <c r="K193" s="1">
        <v>41536</v>
      </c>
      <c r="M193" s="1" t="str">
        <f>IF(ISBLANK(Data[[#This Row],[EndDate]]),"Active","InActive")</f>
        <v>Active</v>
      </c>
      <c r="N193" t="s">
        <v>20</v>
      </c>
      <c r="O193" t="s">
        <v>21</v>
      </c>
      <c r="P193" t="s">
        <v>40</v>
      </c>
      <c r="Q193" s="2">
        <v>2950</v>
      </c>
    </row>
    <row r="194" spans="1:17" x14ac:dyDescent="0.2">
      <c r="A194" s="1">
        <v>43435</v>
      </c>
      <c r="B194">
        <v>44114</v>
      </c>
      <c r="C194" t="s">
        <v>80</v>
      </c>
      <c r="D194" t="s">
        <v>27</v>
      </c>
      <c r="E194" t="s">
        <v>28</v>
      </c>
      <c r="F194" s="5">
        <v>20</v>
      </c>
      <c r="G194" t="str">
        <f>IF(Data[[#This Row],[Age]]&lt;25,"Under 25",IF(Data[[#This Row],[Age]]&lt;35,"25–34",IF(Data[[#This Row],[Age]]&lt;45,"35–44",IF(Data[[#This Row],[Age]]&lt;55,"45–54","55+"))))</f>
        <v>Under 25</v>
      </c>
      <c r="H194" t="s">
        <v>17</v>
      </c>
      <c r="I194" t="s">
        <v>18</v>
      </c>
      <c r="J194" t="s">
        <v>37</v>
      </c>
      <c r="K194" s="1">
        <v>41466</v>
      </c>
      <c r="M194" s="1" t="str">
        <f>IF(ISBLANK(Data[[#This Row],[EndDate]]),"Active","InActive")</f>
        <v>Active</v>
      </c>
      <c r="N194" t="s">
        <v>20</v>
      </c>
      <c r="O194" t="s">
        <v>21</v>
      </c>
      <c r="P194" t="s">
        <v>40</v>
      </c>
      <c r="Q194" s="2">
        <v>7920</v>
      </c>
    </row>
    <row r="195" spans="1:17" x14ac:dyDescent="0.2">
      <c r="A195" s="1">
        <v>42705</v>
      </c>
      <c r="B195">
        <v>41292</v>
      </c>
      <c r="C195" t="s">
        <v>79</v>
      </c>
      <c r="D195" t="s">
        <v>47</v>
      </c>
      <c r="E195" t="s">
        <v>48</v>
      </c>
      <c r="F195" s="5">
        <v>20</v>
      </c>
      <c r="G195" t="str">
        <f>IF(Data[[#This Row],[Age]]&lt;25,"Under 25",IF(Data[[#This Row],[Age]]&lt;35,"25–34",IF(Data[[#This Row],[Age]]&lt;45,"35–44",IF(Data[[#This Row],[Age]]&lt;55,"45–54","55+"))))</f>
        <v>Under 25</v>
      </c>
      <c r="H195" t="s">
        <v>31</v>
      </c>
      <c r="I195" t="s">
        <v>18</v>
      </c>
      <c r="J195" t="s">
        <v>37</v>
      </c>
      <c r="K195" s="1">
        <v>41216</v>
      </c>
      <c r="M195" s="1" t="str">
        <f>IF(ISBLANK(Data[[#This Row],[EndDate]]),"Active","InActive")</f>
        <v>Active</v>
      </c>
      <c r="N195" t="s">
        <v>20</v>
      </c>
      <c r="O195" t="s">
        <v>21</v>
      </c>
      <c r="P195" t="s">
        <v>22</v>
      </c>
      <c r="Q195" s="2">
        <v>1760</v>
      </c>
    </row>
    <row r="196" spans="1:17" x14ac:dyDescent="0.2">
      <c r="A196" s="1">
        <v>42705</v>
      </c>
      <c r="B196">
        <v>112992</v>
      </c>
      <c r="C196" t="s">
        <v>79</v>
      </c>
      <c r="D196" t="s">
        <v>52</v>
      </c>
      <c r="E196" t="s">
        <v>69</v>
      </c>
      <c r="F196" s="5">
        <v>20</v>
      </c>
      <c r="G196" t="str">
        <f>IF(Data[[#This Row],[Age]]&lt;25,"Under 25",IF(Data[[#This Row],[Age]]&lt;35,"25–34",IF(Data[[#This Row],[Age]]&lt;45,"35–44",IF(Data[[#This Row],[Age]]&lt;55,"45–54","55+"))))</f>
        <v>Under 25</v>
      </c>
      <c r="H196" t="s">
        <v>46</v>
      </c>
      <c r="I196" t="s">
        <v>18</v>
      </c>
      <c r="J196" t="s">
        <v>37</v>
      </c>
      <c r="K196" s="1">
        <v>40836</v>
      </c>
      <c r="M196" s="1" t="str">
        <f>IF(ISBLANK(Data[[#This Row],[EndDate]]),"Active","InActive")</f>
        <v>Active</v>
      </c>
      <c r="N196" t="s">
        <v>20</v>
      </c>
      <c r="O196" t="s">
        <v>21</v>
      </c>
      <c r="P196" t="s">
        <v>22</v>
      </c>
      <c r="Q196" s="2">
        <v>7590</v>
      </c>
    </row>
    <row r="197" spans="1:17" x14ac:dyDescent="0.2">
      <c r="A197" s="1">
        <v>42705</v>
      </c>
      <c r="B197">
        <v>119392</v>
      </c>
      <c r="C197" t="s">
        <v>79</v>
      </c>
      <c r="D197" t="s">
        <v>50</v>
      </c>
      <c r="E197" t="s">
        <v>63</v>
      </c>
      <c r="F197" s="5">
        <v>20</v>
      </c>
      <c r="G197" t="str">
        <f>IF(Data[[#This Row],[Age]]&lt;25,"Under 25",IF(Data[[#This Row],[Age]]&lt;35,"25–34",IF(Data[[#This Row],[Age]]&lt;45,"35–44",IF(Data[[#This Row],[Age]]&lt;55,"45–54","55+"))))</f>
        <v>Under 25</v>
      </c>
      <c r="H197" t="s">
        <v>31</v>
      </c>
      <c r="I197" t="s">
        <v>18</v>
      </c>
      <c r="J197" t="s">
        <v>37</v>
      </c>
      <c r="K197" s="1">
        <v>41161</v>
      </c>
      <c r="M197" s="1" t="str">
        <f>IF(ISBLANK(Data[[#This Row],[EndDate]]),"Active","InActive")</f>
        <v>Active</v>
      </c>
      <c r="N197" t="s">
        <v>20</v>
      </c>
      <c r="O197" t="s">
        <v>21</v>
      </c>
      <c r="P197" t="s">
        <v>22</v>
      </c>
      <c r="Q197" s="2">
        <v>1990</v>
      </c>
    </row>
    <row r="198" spans="1:17" x14ac:dyDescent="0.2">
      <c r="A198" s="1">
        <v>43070</v>
      </c>
      <c r="B198">
        <v>8506</v>
      </c>
      <c r="C198" t="s">
        <v>79</v>
      </c>
      <c r="D198" t="s">
        <v>50</v>
      </c>
      <c r="E198" t="s">
        <v>55</v>
      </c>
      <c r="F198" s="5">
        <v>20</v>
      </c>
      <c r="G198" t="str">
        <f>IF(Data[[#This Row],[Age]]&lt;25,"Under 25",IF(Data[[#This Row],[Age]]&lt;35,"25–34",IF(Data[[#This Row],[Age]]&lt;45,"35–44",IF(Data[[#This Row],[Age]]&lt;55,"45–54","55+"))))</f>
        <v>Under 25</v>
      </c>
      <c r="H198" t="s">
        <v>59</v>
      </c>
      <c r="I198" t="s">
        <v>18</v>
      </c>
      <c r="J198" t="s">
        <v>37</v>
      </c>
      <c r="K198" s="1">
        <v>41164</v>
      </c>
      <c r="M198" s="1" t="str">
        <f>IF(ISBLANK(Data[[#This Row],[EndDate]]),"Active","InActive")</f>
        <v>Active</v>
      </c>
      <c r="N198" t="s">
        <v>20</v>
      </c>
      <c r="O198" t="s">
        <v>21</v>
      </c>
      <c r="P198" t="s">
        <v>32</v>
      </c>
      <c r="Q198" s="2">
        <v>2330</v>
      </c>
    </row>
    <row r="199" spans="1:17" x14ac:dyDescent="0.2">
      <c r="A199" s="1">
        <v>43070</v>
      </c>
      <c r="B199">
        <v>43784</v>
      </c>
      <c r="C199" t="s">
        <v>79</v>
      </c>
      <c r="D199" t="s">
        <v>15</v>
      </c>
      <c r="E199" t="s">
        <v>70</v>
      </c>
      <c r="F199" s="5">
        <v>20</v>
      </c>
      <c r="G199" t="str">
        <f>IF(Data[[#This Row],[Age]]&lt;25,"Under 25",IF(Data[[#This Row],[Age]]&lt;35,"25–34",IF(Data[[#This Row],[Age]]&lt;45,"35–44",IF(Data[[#This Row],[Age]]&lt;55,"45–54","55+"))))</f>
        <v>Under 25</v>
      </c>
      <c r="H199" t="s">
        <v>46</v>
      </c>
      <c r="I199" t="s">
        <v>18</v>
      </c>
      <c r="J199" t="s">
        <v>37</v>
      </c>
      <c r="K199" s="1">
        <v>41501</v>
      </c>
      <c r="M199" s="1" t="str">
        <f>IF(ISBLANK(Data[[#This Row],[EndDate]]),"Active","InActive")</f>
        <v>Active</v>
      </c>
      <c r="N199" t="s">
        <v>20</v>
      </c>
      <c r="O199" t="s">
        <v>21</v>
      </c>
      <c r="P199" t="s">
        <v>32</v>
      </c>
      <c r="Q199" s="2">
        <v>3190</v>
      </c>
    </row>
    <row r="200" spans="1:17" x14ac:dyDescent="0.2">
      <c r="A200" s="1">
        <v>43070</v>
      </c>
      <c r="B200">
        <v>54918</v>
      </c>
      <c r="C200" t="s">
        <v>79</v>
      </c>
      <c r="D200" t="s">
        <v>27</v>
      </c>
      <c r="E200" t="s">
        <v>74</v>
      </c>
      <c r="F200" s="5">
        <v>20</v>
      </c>
      <c r="G200" t="str">
        <f>IF(Data[[#This Row],[Age]]&lt;25,"Under 25",IF(Data[[#This Row],[Age]]&lt;35,"25–34",IF(Data[[#This Row],[Age]]&lt;45,"35–44",IF(Data[[#This Row],[Age]]&lt;55,"45–54","55+"))))</f>
        <v>Under 25</v>
      </c>
      <c r="H200" t="s">
        <v>59</v>
      </c>
      <c r="I200" t="s">
        <v>18</v>
      </c>
      <c r="J200" t="s">
        <v>37</v>
      </c>
      <c r="K200" s="1">
        <v>41425</v>
      </c>
      <c r="M200" s="1" t="str">
        <f>IF(ISBLANK(Data[[#This Row],[EndDate]]),"Active","InActive")</f>
        <v>Active</v>
      </c>
      <c r="N200" t="s">
        <v>20</v>
      </c>
      <c r="O200" t="s">
        <v>21</v>
      </c>
      <c r="P200" t="s">
        <v>32</v>
      </c>
      <c r="Q200" s="2">
        <v>9820</v>
      </c>
    </row>
    <row r="201" spans="1:17" x14ac:dyDescent="0.2">
      <c r="A201" s="1">
        <v>43435</v>
      </c>
      <c r="B201">
        <v>41030</v>
      </c>
      <c r="C201" t="s">
        <v>79</v>
      </c>
      <c r="D201" t="s">
        <v>41</v>
      </c>
      <c r="E201" t="s">
        <v>62</v>
      </c>
      <c r="F201" s="5">
        <v>20</v>
      </c>
      <c r="G201" t="str">
        <f>IF(Data[[#This Row],[Age]]&lt;25,"Under 25",IF(Data[[#This Row],[Age]]&lt;35,"25–34",IF(Data[[#This Row],[Age]]&lt;45,"35–44",IF(Data[[#This Row],[Age]]&lt;55,"45–54","55+"))))</f>
        <v>Under 25</v>
      </c>
      <c r="H201" t="s">
        <v>25</v>
      </c>
      <c r="I201" t="s">
        <v>18</v>
      </c>
      <c r="J201" t="s">
        <v>37</v>
      </c>
      <c r="K201" s="1">
        <v>41410</v>
      </c>
      <c r="M201" s="1" t="str">
        <f>IF(ISBLANK(Data[[#This Row],[EndDate]]),"Active","InActive")</f>
        <v>Active</v>
      </c>
      <c r="N201" t="s">
        <v>20</v>
      </c>
      <c r="O201" t="s">
        <v>21</v>
      </c>
      <c r="P201" t="s">
        <v>40</v>
      </c>
      <c r="Q201" s="2">
        <v>5590</v>
      </c>
    </row>
    <row r="202" spans="1:17" x14ac:dyDescent="0.2">
      <c r="A202" s="1">
        <v>42705</v>
      </c>
      <c r="B202">
        <v>25882</v>
      </c>
      <c r="C202" t="s">
        <v>79</v>
      </c>
      <c r="D202" t="s">
        <v>29</v>
      </c>
      <c r="E202" t="s">
        <v>30</v>
      </c>
      <c r="F202" s="5">
        <v>20</v>
      </c>
      <c r="G202" t="str">
        <f>IF(Data[[#This Row],[Age]]&lt;25,"Under 25",IF(Data[[#This Row],[Age]]&lt;35,"25–34",IF(Data[[#This Row],[Age]]&lt;45,"35–44",IF(Data[[#This Row],[Age]]&lt;55,"45–54","55+"))))</f>
        <v>Under 25</v>
      </c>
      <c r="H202" t="s">
        <v>31</v>
      </c>
      <c r="I202" t="s">
        <v>18</v>
      </c>
      <c r="J202" t="s">
        <v>37</v>
      </c>
      <c r="K202" s="1">
        <v>41082</v>
      </c>
      <c r="M202" s="1" t="str">
        <f>IF(ISBLANK(Data[[#This Row],[EndDate]]),"Active","InActive")</f>
        <v>Active</v>
      </c>
      <c r="N202" t="s">
        <v>20</v>
      </c>
      <c r="O202" t="s">
        <v>21</v>
      </c>
      <c r="P202" t="s">
        <v>22</v>
      </c>
      <c r="Q202" s="2">
        <v>4130</v>
      </c>
    </row>
    <row r="203" spans="1:17" x14ac:dyDescent="0.2">
      <c r="A203" s="1">
        <v>42705</v>
      </c>
      <c r="B203">
        <v>105724</v>
      </c>
      <c r="C203" t="s">
        <v>79</v>
      </c>
      <c r="D203" t="s">
        <v>29</v>
      </c>
      <c r="E203" t="s">
        <v>33</v>
      </c>
      <c r="F203" s="5">
        <v>20</v>
      </c>
      <c r="G203" t="str">
        <f>IF(Data[[#This Row],[Age]]&lt;25,"Under 25",IF(Data[[#This Row],[Age]]&lt;35,"25–34",IF(Data[[#This Row],[Age]]&lt;45,"35–44",IF(Data[[#This Row],[Age]]&lt;55,"45–54","55+"))))</f>
        <v>Under 25</v>
      </c>
      <c r="H203" t="s">
        <v>31</v>
      </c>
      <c r="I203" t="s">
        <v>18</v>
      </c>
      <c r="J203" t="s">
        <v>37</v>
      </c>
      <c r="K203" s="1">
        <v>41166</v>
      </c>
      <c r="M203" s="1" t="str">
        <f>IF(ISBLANK(Data[[#This Row],[EndDate]]),"Active","InActive")</f>
        <v>Active</v>
      </c>
      <c r="N203" t="s">
        <v>20</v>
      </c>
      <c r="O203" t="s">
        <v>21</v>
      </c>
      <c r="P203" t="s">
        <v>22</v>
      </c>
      <c r="Q203" s="2">
        <v>5850</v>
      </c>
    </row>
    <row r="204" spans="1:17" x14ac:dyDescent="0.2">
      <c r="A204" s="1">
        <v>42705</v>
      </c>
      <c r="B204">
        <v>106116</v>
      </c>
      <c r="C204" t="s">
        <v>79</v>
      </c>
      <c r="D204" t="s">
        <v>27</v>
      </c>
      <c r="E204" t="s">
        <v>74</v>
      </c>
      <c r="F204" s="5">
        <v>20</v>
      </c>
      <c r="G204" t="str">
        <f>IF(Data[[#This Row],[Age]]&lt;25,"Under 25",IF(Data[[#This Row],[Age]]&lt;35,"25–34",IF(Data[[#This Row],[Age]]&lt;45,"35–44",IF(Data[[#This Row],[Age]]&lt;55,"45–54","55+"))))</f>
        <v>Under 25</v>
      </c>
      <c r="H204" t="s">
        <v>46</v>
      </c>
      <c r="I204" t="s">
        <v>18</v>
      </c>
      <c r="J204" t="s">
        <v>37</v>
      </c>
      <c r="K204" s="1">
        <v>40975</v>
      </c>
      <c r="M204" s="1" t="str">
        <f>IF(ISBLANK(Data[[#This Row],[EndDate]]),"Active","InActive")</f>
        <v>Active</v>
      </c>
      <c r="N204" t="s">
        <v>20</v>
      </c>
      <c r="O204" t="s">
        <v>21</v>
      </c>
      <c r="P204" t="s">
        <v>22</v>
      </c>
      <c r="Q204" s="2">
        <v>8330</v>
      </c>
    </row>
    <row r="205" spans="1:17" x14ac:dyDescent="0.2">
      <c r="A205" s="1">
        <v>42705</v>
      </c>
      <c r="B205">
        <v>118850</v>
      </c>
      <c r="C205" t="s">
        <v>79</v>
      </c>
      <c r="D205" t="s">
        <v>23</v>
      </c>
      <c r="E205" t="s">
        <v>65</v>
      </c>
      <c r="F205" s="5">
        <v>20</v>
      </c>
      <c r="G205" t="str">
        <f>IF(Data[[#This Row],[Age]]&lt;25,"Under 25",IF(Data[[#This Row],[Age]]&lt;35,"25–34",IF(Data[[#This Row],[Age]]&lt;45,"35–44",IF(Data[[#This Row],[Age]]&lt;55,"45–54","55+"))))</f>
        <v>Under 25</v>
      </c>
      <c r="H205" t="s">
        <v>17</v>
      </c>
      <c r="I205" t="s">
        <v>18</v>
      </c>
      <c r="J205" t="s">
        <v>37</v>
      </c>
      <c r="K205" s="1">
        <v>41012</v>
      </c>
      <c r="M205" s="1" t="str">
        <f>IF(ISBLANK(Data[[#This Row],[EndDate]]),"Active","InActive")</f>
        <v>Active</v>
      </c>
      <c r="N205" t="s">
        <v>20</v>
      </c>
      <c r="O205" t="s">
        <v>21</v>
      </c>
      <c r="P205" t="s">
        <v>22</v>
      </c>
      <c r="Q205" s="2">
        <v>2640</v>
      </c>
    </row>
    <row r="206" spans="1:17" x14ac:dyDescent="0.2">
      <c r="A206" s="1">
        <v>43070</v>
      </c>
      <c r="B206">
        <v>19650</v>
      </c>
      <c r="C206" t="s">
        <v>80</v>
      </c>
      <c r="D206" t="s">
        <v>50</v>
      </c>
      <c r="E206" t="s">
        <v>51</v>
      </c>
      <c r="F206" s="5">
        <v>20</v>
      </c>
      <c r="G206" t="str">
        <f>IF(Data[[#This Row],[Age]]&lt;25,"Under 25",IF(Data[[#This Row],[Age]]&lt;35,"25–34",IF(Data[[#This Row],[Age]]&lt;45,"35–44",IF(Data[[#This Row],[Age]]&lt;55,"45–54","55+"))))</f>
        <v>Under 25</v>
      </c>
      <c r="H206" t="s">
        <v>31</v>
      </c>
      <c r="I206" t="s">
        <v>18</v>
      </c>
      <c r="J206" t="s">
        <v>37</v>
      </c>
      <c r="K206" s="1">
        <v>41523</v>
      </c>
      <c r="M206" s="1" t="str">
        <f>IF(ISBLANK(Data[[#This Row],[EndDate]]),"Active","InActive")</f>
        <v>Active</v>
      </c>
      <c r="N206" t="s">
        <v>20</v>
      </c>
      <c r="O206" t="s">
        <v>21</v>
      </c>
      <c r="P206" t="s">
        <v>32</v>
      </c>
      <c r="Q206" s="2">
        <v>5750</v>
      </c>
    </row>
    <row r="207" spans="1:17" x14ac:dyDescent="0.2">
      <c r="A207" s="1">
        <v>43070</v>
      </c>
      <c r="B207">
        <v>24994</v>
      </c>
      <c r="C207" t="s">
        <v>80</v>
      </c>
      <c r="D207" t="s">
        <v>38</v>
      </c>
      <c r="E207" t="s">
        <v>61</v>
      </c>
      <c r="F207" s="5">
        <v>20</v>
      </c>
      <c r="G207" t="str">
        <f>IF(Data[[#This Row],[Age]]&lt;25,"Under 25",IF(Data[[#This Row],[Age]]&lt;35,"25–34",IF(Data[[#This Row],[Age]]&lt;45,"35–44",IF(Data[[#This Row],[Age]]&lt;55,"45–54","55+"))))</f>
        <v>Under 25</v>
      </c>
      <c r="H207" t="s">
        <v>46</v>
      </c>
      <c r="I207" t="s">
        <v>18</v>
      </c>
      <c r="J207" t="s">
        <v>37</v>
      </c>
      <c r="K207" s="1">
        <v>41597</v>
      </c>
      <c r="M207" s="1" t="str">
        <f>IF(ISBLANK(Data[[#This Row],[EndDate]]),"Active","InActive")</f>
        <v>Active</v>
      </c>
      <c r="N207" t="s">
        <v>20</v>
      </c>
      <c r="O207" t="s">
        <v>21</v>
      </c>
      <c r="P207" t="s">
        <v>32</v>
      </c>
      <c r="Q207" s="2">
        <v>7000</v>
      </c>
    </row>
    <row r="208" spans="1:17" x14ac:dyDescent="0.2">
      <c r="A208" s="1">
        <v>43070</v>
      </c>
      <c r="B208">
        <v>30964</v>
      </c>
      <c r="C208" t="s">
        <v>80</v>
      </c>
      <c r="D208" t="s">
        <v>52</v>
      </c>
      <c r="E208" t="s">
        <v>53</v>
      </c>
      <c r="F208" s="5">
        <v>20</v>
      </c>
      <c r="G208" t="str">
        <f>IF(Data[[#This Row],[Age]]&lt;25,"Under 25",IF(Data[[#This Row],[Age]]&lt;35,"25–34",IF(Data[[#This Row],[Age]]&lt;45,"35–44",IF(Data[[#This Row],[Age]]&lt;55,"45–54","55+"))))</f>
        <v>Under 25</v>
      </c>
      <c r="H208" t="s">
        <v>25</v>
      </c>
      <c r="I208" t="s">
        <v>18</v>
      </c>
      <c r="J208" t="s">
        <v>37</v>
      </c>
      <c r="K208" s="1">
        <v>41424</v>
      </c>
      <c r="M208" s="1" t="str">
        <f>IF(ISBLANK(Data[[#This Row],[EndDate]]),"Active","InActive")</f>
        <v>Active</v>
      </c>
      <c r="N208" t="s">
        <v>20</v>
      </c>
      <c r="O208" t="s">
        <v>21</v>
      </c>
      <c r="P208" t="s">
        <v>32</v>
      </c>
      <c r="Q208" s="2">
        <v>7650</v>
      </c>
    </row>
    <row r="209" spans="1:17" x14ac:dyDescent="0.2">
      <c r="A209" s="1">
        <v>43435</v>
      </c>
      <c r="B209">
        <v>49420</v>
      </c>
      <c r="C209" t="s">
        <v>80</v>
      </c>
      <c r="D209" t="s">
        <v>29</v>
      </c>
      <c r="E209" t="s">
        <v>33</v>
      </c>
      <c r="F209" s="5">
        <v>20</v>
      </c>
      <c r="G209" t="str">
        <f>IF(Data[[#This Row],[Age]]&lt;25,"Under 25",IF(Data[[#This Row],[Age]]&lt;35,"25–34",IF(Data[[#This Row],[Age]]&lt;45,"35–44",IF(Data[[#This Row],[Age]]&lt;55,"45–54","55+"))))</f>
        <v>Under 25</v>
      </c>
      <c r="H209" t="s">
        <v>25</v>
      </c>
      <c r="I209" t="s">
        <v>18</v>
      </c>
      <c r="J209" t="s">
        <v>37</v>
      </c>
      <c r="K209" s="1">
        <v>41859</v>
      </c>
      <c r="M209" s="1" t="str">
        <f>IF(ISBLANK(Data[[#This Row],[EndDate]]),"Active","InActive")</f>
        <v>Active</v>
      </c>
      <c r="N209" t="s">
        <v>20</v>
      </c>
      <c r="O209" t="s">
        <v>21</v>
      </c>
      <c r="P209" t="s">
        <v>40</v>
      </c>
      <c r="Q209" s="2">
        <v>8600</v>
      </c>
    </row>
    <row r="210" spans="1:17" x14ac:dyDescent="0.2">
      <c r="A210" s="1">
        <v>43435</v>
      </c>
      <c r="B210">
        <v>49724</v>
      </c>
      <c r="C210" t="s">
        <v>79</v>
      </c>
      <c r="D210" t="s">
        <v>43</v>
      </c>
      <c r="E210" t="s">
        <v>44</v>
      </c>
      <c r="F210" s="5">
        <v>20</v>
      </c>
      <c r="G210" t="str">
        <f>IF(Data[[#This Row],[Age]]&lt;25,"Under 25",IF(Data[[#This Row],[Age]]&lt;35,"25–34",IF(Data[[#This Row],[Age]]&lt;45,"35–44",IF(Data[[#This Row],[Age]]&lt;55,"45–54","55+"))))</f>
        <v>Under 25</v>
      </c>
      <c r="H210" t="s">
        <v>25</v>
      </c>
      <c r="I210" t="s">
        <v>18</v>
      </c>
      <c r="J210" t="s">
        <v>37</v>
      </c>
      <c r="K210" s="1">
        <v>41800</v>
      </c>
      <c r="M210" s="1" t="str">
        <f>IF(ISBLANK(Data[[#This Row],[EndDate]]),"Active","InActive")</f>
        <v>Active</v>
      </c>
      <c r="N210" t="s">
        <v>20</v>
      </c>
      <c r="O210" t="s">
        <v>21</v>
      </c>
      <c r="P210" t="s">
        <v>40</v>
      </c>
      <c r="Q210" s="2">
        <v>1960</v>
      </c>
    </row>
    <row r="211" spans="1:17" x14ac:dyDescent="0.2">
      <c r="A211" s="1">
        <v>43435</v>
      </c>
      <c r="B211">
        <v>50854</v>
      </c>
      <c r="C211" t="s">
        <v>80</v>
      </c>
      <c r="D211" t="s">
        <v>41</v>
      </c>
      <c r="E211" t="s">
        <v>42</v>
      </c>
      <c r="F211" s="5">
        <v>20</v>
      </c>
      <c r="G211" t="str">
        <f>IF(Data[[#This Row],[Age]]&lt;25,"Under 25",IF(Data[[#This Row],[Age]]&lt;35,"25–34",IF(Data[[#This Row],[Age]]&lt;45,"35–44",IF(Data[[#This Row],[Age]]&lt;55,"45–54","55+"))))</f>
        <v>Under 25</v>
      </c>
      <c r="H211" t="s">
        <v>25</v>
      </c>
      <c r="I211" t="s">
        <v>18</v>
      </c>
      <c r="J211" t="s">
        <v>37</v>
      </c>
      <c r="K211" s="1">
        <v>41473</v>
      </c>
      <c r="M211" s="1" t="str">
        <f>IF(ISBLANK(Data[[#This Row],[EndDate]]),"Active","InActive")</f>
        <v>Active</v>
      </c>
      <c r="N211" t="s">
        <v>20</v>
      </c>
      <c r="O211" t="s">
        <v>21</v>
      </c>
      <c r="P211" t="s">
        <v>40</v>
      </c>
      <c r="Q211" s="2">
        <v>7990</v>
      </c>
    </row>
    <row r="212" spans="1:17" x14ac:dyDescent="0.2">
      <c r="A212" s="1">
        <v>43435</v>
      </c>
      <c r="B212">
        <v>51314</v>
      </c>
      <c r="C212" t="s">
        <v>79</v>
      </c>
      <c r="D212" t="s">
        <v>47</v>
      </c>
      <c r="E212" t="s">
        <v>48</v>
      </c>
      <c r="F212" s="5">
        <v>20</v>
      </c>
      <c r="G212" t="str">
        <f>IF(Data[[#This Row],[Age]]&lt;25,"Under 25",IF(Data[[#This Row],[Age]]&lt;35,"25–34",IF(Data[[#This Row],[Age]]&lt;45,"35–44",IF(Data[[#This Row],[Age]]&lt;55,"45–54","55+"))))</f>
        <v>Under 25</v>
      </c>
      <c r="H212" t="s">
        <v>46</v>
      </c>
      <c r="I212" t="s">
        <v>18</v>
      </c>
      <c r="J212" t="s">
        <v>37</v>
      </c>
      <c r="K212" s="1">
        <v>41885</v>
      </c>
      <c r="M212" s="1" t="str">
        <f>IF(ISBLANK(Data[[#This Row],[EndDate]]),"Active","InActive")</f>
        <v>Active</v>
      </c>
      <c r="N212" t="s">
        <v>20</v>
      </c>
      <c r="O212" t="s">
        <v>21</v>
      </c>
      <c r="P212" t="s">
        <v>40</v>
      </c>
      <c r="Q212" s="2">
        <v>1330</v>
      </c>
    </row>
    <row r="213" spans="1:17" x14ac:dyDescent="0.2">
      <c r="A213" s="1">
        <v>43435</v>
      </c>
      <c r="B213">
        <v>51432</v>
      </c>
      <c r="C213" t="s">
        <v>79</v>
      </c>
      <c r="D213" t="s">
        <v>41</v>
      </c>
      <c r="E213" t="s">
        <v>42</v>
      </c>
      <c r="F213" s="5">
        <v>20</v>
      </c>
      <c r="G213" t="str">
        <f>IF(Data[[#This Row],[Age]]&lt;25,"Under 25",IF(Data[[#This Row],[Age]]&lt;35,"25–34",IF(Data[[#This Row],[Age]]&lt;45,"35–44",IF(Data[[#This Row],[Age]]&lt;55,"45–54","55+"))))</f>
        <v>Under 25</v>
      </c>
      <c r="H213" t="s">
        <v>31</v>
      </c>
      <c r="I213" t="s">
        <v>18</v>
      </c>
      <c r="J213" t="s">
        <v>37</v>
      </c>
      <c r="K213" s="1">
        <v>41877</v>
      </c>
      <c r="M213" s="1" t="str">
        <f>IF(ISBLANK(Data[[#This Row],[EndDate]]),"Active","InActive")</f>
        <v>Active</v>
      </c>
      <c r="N213" t="s">
        <v>20</v>
      </c>
      <c r="O213" t="s">
        <v>21</v>
      </c>
      <c r="P213" t="s">
        <v>40</v>
      </c>
      <c r="Q213" s="2">
        <v>9740</v>
      </c>
    </row>
    <row r="214" spans="1:17" x14ac:dyDescent="0.2">
      <c r="A214" s="1">
        <v>43435</v>
      </c>
      <c r="B214">
        <v>52024</v>
      </c>
      <c r="C214" t="s">
        <v>80</v>
      </c>
      <c r="D214" t="s">
        <v>41</v>
      </c>
      <c r="E214" t="s">
        <v>62</v>
      </c>
      <c r="F214" s="5">
        <v>20</v>
      </c>
      <c r="G214" t="str">
        <f>IF(Data[[#This Row],[Age]]&lt;25,"Under 25",IF(Data[[#This Row],[Age]]&lt;35,"25–34",IF(Data[[#This Row],[Age]]&lt;45,"35–44",IF(Data[[#This Row],[Age]]&lt;55,"45–54","55+"))))</f>
        <v>Under 25</v>
      </c>
      <c r="H214" t="s">
        <v>34</v>
      </c>
      <c r="I214" t="s">
        <v>18</v>
      </c>
      <c r="J214" t="s">
        <v>37</v>
      </c>
      <c r="K214" s="1">
        <v>41501</v>
      </c>
      <c r="M214" s="1" t="str">
        <f>IF(ISBLANK(Data[[#This Row],[EndDate]]),"Active","InActive")</f>
        <v>Active</v>
      </c>
      <c r="N214" t="s">
        <v>20</v>
      </c>
      <c r="O214" t="s">
        <v>21</v>
      </c>
      <c r="P214" t="s">
        <v>40</v>
      </c>
      <c r="Q214" s="2">
        <v>7700</v>
      </c>
    </row>
    <row r="215" spans="1:17" x14ac:dyDescent="0.2">
      <c r="A215" s="1">
        <v>43435</v>
      </c>
      <c r="B215">
        <v>52770</v>
      </c>
      <c r="C215" t="s">
        <v>79</v>
      </c>
      <c r="D215" t="s">
        <v>47</v>
      </c>
      <c r="E215" t="s">
        <v>64</v>
      </c>
      <c r="F215" s="5">
        <v>20</v>
      </c>
      <c r="G215" t="str">
        <f>IF(Data[[#This Row],[Age]]&lt;25,"Under 25",IF(Data[[#This Row],[Age]]&lt;35,"25–34",IF(Data[[#This Row],[Age]]&lt;45,"35–44",IF(Data[[#This Row],[Age]]&lt;55,"45–54","55+"))))</f>
        <v>Under 25</v>
      </c>
      <c r="H215" t="s">
        <v>34</v>
      </c>
      <c r="I215" t="s">
        <v>18</v>
      </c>
      <c r="J215" t="s">
        <v>37</v>
      </c>
      <c r="K215" s="1">
        <v>41102</v>
      </c>
      <c r="M215" s="1" t="str">
        <f>IF(ISBLANK(Data[[#This Row],[EndDate]]),"Active","InActive")</f>
        <v>Active</v>
      </c>
      <c r="N215" t="s">
        <v>20</v>
      </c>
      <c r="O215" t="s">
        <v>21</v>
      </c>
      <c r="P215" t="s">
        <v>40</v>
      </c>
      <c r="Q215" s="2">
        <v>8730</v>
      </c>
    </row>
    <row r="216" spans="1:17" x14ac:dyDescent="0.2">
      <c r="A216" s="1">
        <v>43435</v>
      </c>
      <c r="B216">
        <v>56446</v>
      </c>
      <c r="C216" t="s">
        <v>80</v>
      </c>
      <c r="D216" t="s">
        <v>43</v>
      </c>
      <c r="E216" t="s">
        <v>66</v>
      </c>
      <c r="F216" s="5">
        <v>20</v>
      </c>
      <c r="G216" t="str">
        <f>IF(Data[[#This Row],[Age]]&lt;25,"Under 25",IF(Data[[#This Row],[Age]]&lt;35,"25–34",IF(Data[[#This Row],[Age]]&lt;45,"35–44",IF(Data[[#This Row],[Age]]&lt;55,"45–54","55+"))))</f>
        <v>Under 25</v>
      </c>
      <c r="H216" t="s">
        <v>25</v>
      </c>
      <c r="I216" t="s">
        <v>18</v>
      </c>
      <c r="J216" t="s">
        <v>37</v>
      </c>
      <c r="K216" s="1">
        <v>41545</v>
      </c>
      <c r="M216" s="1" t="str">
        <f>IF(ISBLANK(Data[[#This Row],[EndDate]]),"Active","InActive")</f>
        <v>Active</v>
      </c>
      <c r="N216" t="s">
        <v>20</v>
      </c>
      <c r="O216" t="s">
        <v>21</v>
      </c>
      <c r="P216" t="s">
        <v>40</v>
      </c>
      <c r="Q216" s="2">
        <v>1180</v>
      </c>
    </row>
    <row r="217" spans="1:17" x14ac:dyDescent="0.2">
      <c r="A217" s="1">
        <v>43435</v>
      </c>
      <c r="B217">
        <v>56456</v>
      </c>
      <c r="C217" t="s">
        <v>80</v>
      </c>
      <c r="D217" t="s">
        <v>41</v>
      </c>
      <c r="E217" t="s">
        <v>42</v>
      </c>
      <c r="F217" s="5">
        <v>20</v>
      </c>
      <c r="G217" t="str">
        <f>IF(Data[[#This Row],[Age]]&lt;25,"Under 25",IF(Data[[#This Row],[Age]]&lt;35,"25–34",IF(Data[[#This Row],[Age]]&lt;45,"35–44",IF(Data[[#This Row],[Age]]&lt;55,"45–54","55+"))))</f>
        <v>Under 25</v>
      </c>
      <c r="H217" t="s">
        <v>34</v>
      </c>
      <c r="I217" t="s">
        <v>18</v>
      </c>
      <c r="J217" t="s">
        <v>37</v>
      </c>
      <c r="K217" s="1">
        <v>41453</v>
      </c>
      <c r="M217" s="1" t="str">
        <f>IF(ISBLANK(Data[[#This Row],[EndDate]]),"Active","InActive")</f>
        <v>Active</v>
      </c>
      <c r="N217" t="s">
        <v>20</v>
      </c>
      <c r="O217" t="s">
        <v>21</v>
      </c>
      <c r="P217" t="s">
        <v>40</v>
      </c>
      <c r="Q217" s="2">
        <v>5050</v>
      </c>
    </row>
    <row r="218" spans="1:17" x14ac:dyDescent="0.2">
      <c r="A218" s="1">
        <v>43435</v>
      </c>
      <c r="B218">
        <v>56472</v>
      </c>
      <c r="C218" t="s">
        <v>80</v>
      </c>
      <c r="D218" t="s">
        <v>27</v>
      </c>
      <c r="E218" t="s">
        <v>28</v>
      </c>
      <c r="F218" s="5">
        <v>20</v>
      </c>
      <c r="G218" t="str">
        <f>IF(Data[[#This Row],[Age]]&lt;25,"Under 25",IF(Data[[#This Row],[Age]]&lt;35,"25–34",IF(Data[[#This Row],[Age]]&lt;45,"35–44",IF(Data[[#This Row],[Age]]&lt;55,"45–54","55+"))))</f>
        <v>Under 25</v>
      </c>
      <c r="H218" t="s">
        <v>25</v>
      </c>
      <c r="I218" t="s">
        <v>18</v>
      </c>
      <c r="J218" t="s">
        <v>37</v>
      </c>
      <c r="K218" s="1">
        <v>41564</v>
      </c>
      <c r="M218" s="1" t="str">
        <f>IF(ISBLANK(Data[[#This Row],[EndDate]]),"Active","InActive")</f>
        <v>Active</v>
      </c>
      <c r="N218" t="s">
        <v>20</v>
      </c>
      <c r="O218" t="s">
        <v>21</v>
      </c>
      <c r="P218" t="s">
        <v>40</v>
      </c>
      <c r="Q218" s="2">
        <v>7630</v>
      </c>
    </row>
    <row r="219" spans="1:17" x14ac:dyDescent="0.2">
      <c r="A219" s="1">
        <v>42705</v>
      </c>
      <c r="B219">
        <v>43336</v>
      </c>
      <c r="C219" t="s">
        <v>80</v>
      </c>
      <c r="D219" t="s">
        <v>15</v>
      </c>
      <c r="E219" t="s">
        <v>16</v>
      </c>
      <c r="F219" s="5">
        <v>20</v>
      </c>
      <c r="G219" t="str">
        <f>IF(Data[[#This Row],[Age]]&lt;25,"Under 25",IF(Data[[#This Row],[Age]]&lt;35,"25–34",IF(Data[[#This Row],[Age]]&lt;45,"35–44",IF(Data[[#This Row],[Age]]&lt;55,"45–54","55+"))))</f>
        <v>Under 25</v>
      </c>
      <c r="H219" t="s">
        <v>34</v>
      </c>
      <c r="I219" t="s">
        <v>18</v>
      </c>
      <c r="J219" t="s">
        <v>35</v>
      </c>
      <c r="K219" s="1">
        <v>40999</v>
      </c>
      <c r="M219" s="1" t="str">
        <f>IF(ISBLANK(Data[[#This Row],[EndDate]]),"Active","InActive")</f>
        <v>Active</v>
      </c>
      <c r="N219" t="s">
        <v>20</v>
      </c>
      <c r="O219" t="s">
        <v>21</v>
      </c>
      <c r="P219" t="s">
        <v>22</v>
      </c>
      <c r="Q219" s="2">
        <v>7040</v>
      </c>
    </row>
    <row r="220" spans="1:17" x14ac:dyDescent="0.2">
      <c r="A220" s="1">
        <v>42705</v>
      </c>
      <c r="B220">
        <v>53290</v>
      </c>
      <c r="C220" t="s">
        <v>79</v>
      </c>
      <c r="D220" t="s">
        <v>27</v>
      </c>
      <c r="E220" t="s">
        <v>74</v>
      </c>
      <c r="F220" s="5">
        <v>20</v>
      </c>
      <c r="G220" t="str">
        <f>IF(Data[[#This Row],[Age]]&lt;25,"Under 25",IF(Data[[#This Row],[Age]]&lt;35,"25–34",IF(Data[[#This Row],[Age]]&lt;45,"35–44",IF(Data[[#This Row],[Age]]&lt;55,"45–54","55+"))))</f>
        <v>Under 25</v>
      </c>
      <c r="H220" t="s">
        <v>17</v>
      </c>
      <c r="I220" t="s">
        <v>18</v>
      </c>
      <c r="J220" t="s">
        <v>35</v>
      </c>
      <c r="K220" s="1">
        <v>41136</v>
      </c>
      <c r="M220" s="1" t="str">
        <f>IF(ISBLANK(Data[[#This Row],[EndDate]]),"Active","InActive")</f>
        <v>Active</v>
      </c>
      <c r="N220" t="s">
        <v>20</v>
      </c>
      <c r="O220" t="s">
        <v>21</v>
      </c>
      <c r="P220" t="s">
        <v>22</v>
      </c>
      <c r="Q220" s="2">
        <v>3270</v>
      </c>
    </row>
    <row r="221" spans="1:17" x14ac:dyDescent="0.2">
      <c r="A221" s="1">
        <v>42705</v>
      </c>
      <c r="B221">
        <v>54556</v>
      </c>
      <c r="C221" t="s">
        <v>80</v>
      </c>
      <c r="D221" t="s">
        <v>23</v>
      </c>
      <c r="E221" t="s">
        <v>65</v>
      </c>
      <c r="F221" s="5">
        <v>20</v>
      </c>
      <c r="G221" t="str">
        <f>IF(Data[[#This Row],[Age]]&lt;25,"Under 25",IF(Data[[#This Row],[Age]]&lt;35,"25–34",IF(Data[[#This Row],[Age]]&lt;45,"35–44",IF(Data[[#This Row],[Age]]&lt;55,"45–54","55+"))))</f>
        <v>Under 25</v>
      </c>
      <c r="H221" t="s">
        <v>25</v>
      </c>
      <c r="I221" t="s">
        <v>18</v>
      </c>
      <c r="J221" t="s">
        <v>35</v>
      </c>
      <c r="K221" s="1">
        <v>40970</v>
      </c>
      <c r="M221" s="1" t="str">
        <f>IF(ISBLANK(Data[[#This Row],[EndDate]]),"Active","InActive")</f>
        <v>Active</v>
      </c>
      <c r="N221" t="s">
        <v>20</v>
      </c>
      <c r="O221" t="s">
        <v>21</v>
      </c>
      <c r="P221" t="s">
        <v>22</v>
      </c>
      <c r="Q221" s="2">
        <v>5350</v>
      </c>
    </row>
    <row r="222" spans="1:17" x14ac:dyDescent="0.2">
      <c r="A222" s="1">
        <v>42705</v>
      </c>
      <c r="B222">
        <v>101948</v>
      </c>
      <c r="C222" t="s">
        <v>80</v>
      </c>
      <c r="D222" t="s">
        <v>15</v>
      </c>
      <c r="E222" t="s">
        <v>58</v>
      </c>
      <c r="F222" s="5">
        <v>20</v>
      </c>
      <c r="G222" t="str">
        <f>IF(Data[[#This Row],[Age]]&lt;25,"Under 25",IF(Data[[#This Row],[Age]]&lt;35,"25–34",IF(Data[[#This Row],[Age]]&lt;45,"35–44",IF(Data[[#This Row],[Age]]&lt;55,"45–54","55+"))))</f>
        <v>Under 25</v>
      </c>
      <c r="H222" t="s">
        <v>25</v>
      </c>
      <c r="I222" t="s">
        <v>18</v>
      </c>
      <c r="J222" t="s">
        <v>35</v>
      </c>
      <c r="K222" s="1">
        <v>41144</v>
      </c>
      <c r="M222" s="1" t="str">
        <f>IF(ISBLANK(Data[[#This Row],[EndDate]]),"Active","InActive")</f>
        <v>Active</v>
      </c>
      <c r="N222" t="s">
        <v>20</v>
      </c>
      <c r="O222" t="s">
        <v>21</v>
      </c>
      <c r="P222" t="s">
        <v>22</v>
      </c>
      <c r="Q222" s="2">
        <v>4480</v>
      </c>
    </row>
    <row r="223" spans="1:17" x14ac:dyDescent="0.2">
      <c r="A223" s="1">
        <v>42705</v>
      </c>
      <c r="B223">
        <v>105924</v>
      </c>
      <c r="C223" t="s">
        <v>80</v>
      </c>
      <c r="D223" t="s">
        <v>47</v>
      </c>
      <c r="E223" t="s">
        <v>48</v>
      </c>
      <c r="F223" s="5">
        <v>20</v>
      </c>
      <c r="G223" t="str">
        <f>IF(Data[[#This Row],[Age]]&lt;25,"Under 25",IF(Data[[#This Row],[Age]]&lt;35,"25–34",IF(Data[[#This Row],[Age]]&lt;45,"35–44",IF(Data[[#This Row],[Age]]&lt;55,"45–54","55+"))))</f>
        <v>Under 25</v>
      </c>
      <c r="H223" t="s">
        <v>46</v>
      </c>
      <c r="I223" t="s">
        <v>18</v>
      </c>
      <c r="J223" t="s">
        <v>35</v>
      </c>
      <c r="K223" s="1">
        <v>40709</v>
      </c>
      <c r="M223" s="1" t="str">
        <f>IF(ISBLANK(Data[[#This Row],[EndDate]]),"Active","InActive")</f>
        <v>Active</v>
      </c>
      <c r="N223" t="s">
        <v>20</v>
      </c>
      <c r="O223" t="s">
        <v>21</v>
      </c>
      <c r="P223" t="s">
        <v>22</v>
      </c>
      <c r="Q223" s="2">
        <v>8800</v>
      </c>
    </row>
    <row r="224" spans="1:17" x14ac:dyDescent="0.2">
      <c r="A224" s="1">
        <v>42705</v>
      </c>
      <c r="B224">
        <v>114780</v>
      </c>
      <c r="C224" t="s">
        <v>79</v>
      </c>
      <c r="D224" t="s">
        <v>27</v>
      </c>
      <c r="E224" t="s">
        <v>74</v>
      </c>
      <c r="F224" s="5">
        <v>20</v>
      </c>
      <c r="G224" t="str">
        <f>IF(Data[[#This Row],[Age]]&lt;25,"Under 25",IF(Data[[#This Row],[Age]]&lt;35,"25–34",IF(Data[[#This Row],[Age]]&lt;45,"35–44",IF(Data[[#This Row],[Age]]&lt;55,"45–54","55+"))))</f>
        <v>Under 25</v>
      </c>
      <c r="H224" t="s">
        <v>17</v>
      </c>
      <c r="I224" t="s">
        <v>18</v>
      </c>
      <c r="J224" t="s">
        <v>35</v>
      </c>
      <c r="K224" s="1">
        <v>40850</v>
      </c>
      <c r="M224" s="1" t="str">
        <f>IF(ISBLANK(Data[[#This Row],[EndDate]]),"Active","InActive")</f>
        <v>Active</v>
      </c>
      <c r="N224" t="s">
        <v>20</v>
      </c>
      <c r="O224" t="s">
        <v>21</v>
      </c>
      <c r="P224" t="s">
        <v>22</v>
      </c>
      <c r="Q224" s="2">
        <v>6250</v>
      </c>
    </row>
    <row r="225" spans="1:17" x14ac:dyDescent="0.2">
      <c r="A225" s="1">
        <v>42705</v>
      </c>
      <c r="B225">
        <v>122814</v>
      </c>
      <c r="C225" t="s">
        <v>80</v>
      </c>
      <c r="D225" t="s">
        <v>15</v>
      </c>
      <c r="E225" t="s">
        <v>16</v>
      </c>
      <c r="F225" s="5">
        <v>20</v>
      </c>
      <c r="G225" t="str">
        <f>IF(Data[[#This Row],[Age]]&lt;25,"Under 25",IF(Data[[#This Row],[Age]]&lt;35,"25–34",IF(Data[[#This Row],[Age]]&lt;45,"35–44",IF(Data[[#This Row],[Age]]&lt;55,"45–54","55+"))))</f>
        <v>Under 25</v>
      </c>
      <c r="H225" t="s">
        <v>59</v>
      </c>
      <c r="I225" t="s">
        <v>18</v>
      </c>
      <c r="J225" t="s">
        <v>35</v>
      </c>
      <c r="K225" s="1">
        <v>40759</v>
      </c>
      <c r="L225" s="1">
        <v>40794</v>
      </c>
      <c r="M225" s="1" t="str">
        <f>IF(ISBLANK(Data[[#This Row],[EndDate]]),"Active","InActive")</f>
        <v>InActive</v>
      </c>
      <c r="N225" t="s">
        <v>20</v>
      </c>
      <c r="O225" t="s">
        <v>21</v>
      </c>
      <c r="P225" t="s">
        <v>22</v>
      </c>
      <c r="Q225" s="2">
        <v>8910</v>
      </c>
    </row>
    <row r="226" spans="1:17" x14ac:dyDescent="0.2">
      <c r="A226" s="1">
        <v>43070</v>
      </c>
      <c r="B226">
        <v>11388</v>
      </c>
      <c r="C226" t="s">
        <v>79</v>
      </c>
      <c r="D226" t="s">
        <v>52</v>
      </c>
      <c r="E226" t="s">
        <v>67</v>
      </c>
      <c r="F226" s="5">
        <v>20</v>
      </c>
      <c r="G226" t="str">
        <f>IF(Data[[#This Row],[Age]]&lt;25,"Under 25",IF(Data[[#This Row],[Age]]&lt;35,"25–34",IF(Data[[#This Row],[Age]]&lt;45,"35–44",IF(Data[[#This Row],[Age]]&lt;55,"45–54","55+"))))</f>
        <v>Under 25</v>
      </c>
      <c r="H226" t="s">
        <v>31</v>
      </c>
      <c r="I226" t="s">
        <v>18</v>
      </c>
      <c r="J226" t="s">
        <v>35</v>
      </c>
      <c r="K226" s="1">
        <v>41570</v>
      </c>
      <c r="M226" s="1" t="str">
        <f>IF(ISBLANK(Data[[#This Row],[EndDate]]),"Active","InActive")</f>
        <v>Active</v>
      </c>
      <c r="N226" t="s">
        <v>20</v>
      </c>
      <c r="O226" t="s">
        <v>21</v>
      </c>
      <c r="P226" t="s">
        <v>32</v>
      </c>
      <c r="Q226" s="2">
        <v>9540</v>
      </c>
    </row>
    <row r="227" spans="1:17" x14ac:dyDescent="0.2">
      <c r="A227" s="1">
        <v>43070</v>
      </c>
      <c r="B227">
        <v>41416</v>
      </c>
      <c r="C227" t="s">
        <v>80</v>
      </c>
      <c r="D227" t="s">
        <v>23</v>
      </c>
      <c r="E227" t="s">
        <v>24</v>
      </c>
      <c r="F227" s="5">
        <v>20</v>
      </c>
      <c r="G227" t="str">
        <f>IF(Data[[#This Row],[Age]]&lt;25,"Under 25",IF(Data[[#This Row],[Age]]&lt;35,"25–34",IF(Data[[#This Row],[Age]]&lt;45,"35–44",IF(Data[[#This Row],[Age]]&lt;55,"45–54","55+"))))</f>
        <v>Under 25</v>
      </c>
      <c r="H227" t="s">
        <v>59</v>
      </c>
      <c r="I227" t="s">
        <v>18</v>
      </c>
      <c r="J227" t="s">
        <v>35</v>
      </c>
      <c r="K227" s="1">
        <v>41514</v>
      </c>
      <c r="M227" s="1" t="str">
        <f>IF(ISBLANK(Data[[#This Row],[EndDate]]),"Active","InActive")</f>
        <v>Active</v>
      </c>
      <c r="N227" t="s">
        <v>20</v>
      </c>
      <c r="O227" t="s">
        <v>21</v>
      </c>
      <c r="P227" t="s">
        <v>32</v>
      </c>
      <c r="Q227" s="2">
        <v>9490</v>
      </c>
    </row>
    <row r="228" spans="1:17" x14ac:dyDescent="0.2">
      <c r="A228" s="1">
        <v>43070</v>
      </c>
      <c r="B228">
        <v>41512</v>
      </c>
      <c r="C228" t="s">
        <v>79</v>
      </c>
      <c r="D228" t="s">
        <v>15</v>
      </c>
      <c r="E228" t="s">
        <v>70</v>
      </c>
      <c r="F228" s="5">
        <v>20</v>
      </c>
      <c r="G228" t="str">
        <f>IF(Data[[#This Row],[Age]]&lt;25,"Under 25",IF(Data[[#This Row],[Age]]&lt;35,"25–34",IF(Data[[#This Row],[Age]]&lt;45,"35–44",IF(Data[[#This Row],[Age]]&lt;55,"45–54","55+"))))</f>
        <v>Under 25</v>
      </c>
      <c r="H228" t="s">
        <v>17</v>
      </c>
      <c r="I228" t="s">
        <v>18</v>
      </c>
      <c r="J228" t="s">
        <v>35</v>
      </c>
      <c r="K228" s="1">
        <v>41146</v>
      </c>
      <c r="M228" s="1" t="str">
        <f>IF(ISBLANK(Data[[#This Row],[EndDate]]),"Active","InActive")</f>
        <v>Active</v>
      </c>
      <c r="N228" t="s">
        <v>20</v>
      </c>
      <c r="O228" t="s">
        <v>21</v>
      </c>
      <c r="P228" t="s">
        <v>32</v>
      </c>
      <c r="Q228" s="2">
        <v>6120</v>
      </c>
    </row>
    <row r="229" spans="1:17" x14ac:dyDescent="0.2">
      <c r="A229" s="1">
        <v>43070</v>
      </c>
      <c r="B229">
        <v>42238</v>
      </c>
      <c r="C229" t="s">
        <v>79</v>
      </c>
      <c r="D229" t="s">
        <v>43</v>
      </c>
      <c r="E229" t="s">
        <v>44</v>
      </c>
      <c r="F229" s="5">
        <v>20</v>
      </c>
      <c r="G229" t="str">
        <f>IF(Data[[#This Row],[Age]]&lt;25,"Under 25",IF(Data[[#This Row],[Age]]&lt;35,"25–34",IF(Data[[#This Row],[Age]]&lt;45,"35–44",IF(Data[[#This Row],[Age]]&lt;55,"45–54","55+"))))</f>
        <v>Under 25</v>
      </c>
      <c r="H229" t="s">
        <v>46</v>
      </c>
      <c r="I229" t="s">
        <v>18</v>
      </c>
      <c r="J229" t="s">
        <v>35</v>
      </c>
      <c r="K229" s="1">
        <v>41202</v>
      </c>
      <c r="M229" s="1" t="str">
        <f>IF(ISBLANK(Data[[#This Row],[EndDate]]),"Active","InActive")</f>
        <v>Active</v>
      </c>
      <c r="N229" t="s">
        <v>20</v>
      </c>
      <c r="O229" t="s">
        <v>21</v>
      </c>
      <c r="P229" t="s">
        <v>32</v>
      </c>
      <c r="Q229" s="2">
        <v>9440</v>
      </c>
    </row>
    <row r="230" spans="1:17" x14ac:dyDescent="0.2">
      <c r="A230" s="1">
        <v>43070</v>
      </c>
      <c r="B230">
        <v>54564</v>
      </c>
      <c r="C230" t="s">
        <v>80</v>
      </c>
      <c r="D230" t="s">
        <v>29</v>
      </c>
      <c r="E230" t="s">
        <v>30</v>
      </c>
      <c r="F230" s="5">
        <v>20</v>
      </c>
      <c r="G230" t="str">
        <f>IF(Data[[#This Row],[Age]]&lt;25,"Under 25",IF(Data[[#This Row],[Age]]&lt;35,"25–34",IF(Data[[#This Row],[Age]]&lt;45,"35–44",IF(Data[[#This Row],[Age]]&lt;55,"45–54","55+"))))</f>
        <v>Under 25</v>
      </c>
      <c r="H230" t="s">
        <v>46</v>
      </c>
      <c r="I230" t="s">
        <v>18</v>
      </c>
      <c r="J230" t="s">
        <v>35</v>
      </c>
      <c r="K230" s="1">
        <v>41154</v>
      </c>
      <c r="M230" s="1" t="str">
        <f>IF(ISBLANK(Data[[#This Row],[EndDate]]),"Active","InActive")</f>
        <v>Active</v>
      </c>
      <c r="N230" t="s">
        <v>20</v>
      </c>
      <c r="O230" t="s">
        <v>21</v>
      </c>
      <c r="P230" t="s">
        <v>32</v>
      </c>
      <c r="Q230" s="2">
        <v>6910</v>
      </c>
    </row>
    <row r="231" spans="1:17" x14ac:dyDescent="0.2">
      <c r="A231" s="1">
        <v>43070</v>
      </c>
      <c r="B231">
        <v>54614</v>
      </c>
      <c r="C231" t="s">
        <v>80</v>
      </c>
      <c r="D231" t="s">
        <v>47</v>
      </c>
      <c r="E231" t="s">
        <v>48</v>
      </c>
      <c r="F231" s="5">
        <v>20</v>
      </c>
      <c r="G231" t="str">
        <f>IF(Data[[#This Row],[Age]]&lt;25,"Under 25",IF(Data[[#This Row],[Age]]&lt;35,"25–34",IF(Data[[#This Row],[Age]]&lt;45,"35–44",IF(Data[[#This Row],[Age]]&lt;55,"45–54","55+"))))</f>
        <v>Under 25</v>
      </c>
      <c r="H231" t="s">
        <v>31</v>
      </c>
      <c r="I231" t="s">
        <v>18</v>
      </c>
      <c r="J231" t="s">
        <v>35</v>
      </c>
      <c r="K231" s="1">
        <v>41207</v>
      </c>
      <c r="M231" s="1" t="str">
        <f>IF(ISBLANK(Data[[#This Row],[EndDate]]),"Active","InActive")</f>
        <v>Active</v>
      </c>
      <c r="N231" t="s">
        <v>20</v>
      </c>
      <c r="O231" t="s">
        <v>21</v>
      </c>
      <c r="P231" t="s">
        <v>32</v>
      </c>
      <c r="Q231" s="2">
        <v>7390</v>
      </c>
    </row>
    <row r="232" spans="1:17" x14ac:dyDescent="0.2">
      <c r="A232" s="1">
        <v>43070</v>
      </c>
      <c r="B232">
        <v>55666</v>
      </c>
      <c r="C232" t="s">
        <v>80</v>
      </c>
      <c r="D232" t="s">
        <v>38</v>
      </c>
      <c r="E232" t="s">
        <v>61</v>
      </c>
      <c r="F232" s="5">
        <v>20</v>
      </c>
      <c r="G232" t="str">
        <f>IF(Data[[#This Row],[Age]]&lt;25,"Under 25",IF(Data[[#This Row],[Age]]&lt;35,"25–34",IF(Data[[#This Row],[Age]]&lt;45,"35–44",IF(Data[[#This Row],[Age]]&lt;55,"45–54","55+"))))</f>
        <v>Under 25</v>
      </c>
      <c r="H232" t="s">
        <v>31</v>
      </c>
      <c r="I232" t="s">
        <v>18</v>
      </c>
      <c r="J232" t="s">
        <v>35</v>
      </c>
      <c r="K232" s="1">
        <v>40737</v>
      </c>
      <c r="M232" s="1" t="str">
        <f>IF(ISBLANK(Data[[#This Row],[EndDate]]),"Active","InActive")</f>
        <v>Active</v>
      </c>
      <c r="N232" t="s">
        <v>20</v>
      </c>
      <c r="O232" t="s">
        <v>21</v>
      </c>
      <c r="P232" t="s">
        <v>32</v>
      </c>
      <c r="Q232" s="2">
        <v>4720</v>
      </c>
    </row>
    <row r="233" spans="1:17" x14ac:dyDescent="0.2">
      <c r="A233" s="1">
        <v>43435</v>
      </c>
      <c r="B233">
        <v>41420</v>
      </c>
      <c r="C233" t="s">
        <v>80</v>
      </c>
      <c r="D233" t="s">
        <v>15</v>
      </c>
      <c r="E233" t="s">
        <v>70</v>
      </c>
      <c r="F233" s="5">
        <v>20</v>
      </c>
      <c r="G233" t="str">
        <f>IF(Data[[#This Row],[Age]]&lt;25,"Under 25",IF(Data[[#This Row],[Age]]&lt;35,"25–34",IF(Data[[#This Row],[Age]]&lt;45,"35–44",IF(Data[[#This Row],[Age]]&lt;55,"45–54","55+"))))</f>
        <v>Under 25</v>
      </c>
      <c r="H233" t="s">
        <v>59</v>
      </c>
      <c r="I233" t="s">
        <v>18</v>
      </c>
      <c r="J233" t="s">
        <v>35</v>
      </c>
      <c r="K233" s="1">
        <v>41382</v>
      </c>
      <c r="M233" s="1" t="str">
        <f>IF(ISBLANK(Data[[#This Row],[EndDate]]),"Active","InActive")</f>
        <v>Active</v>
      </c>
      <c r="N233" t="s">
        <v>20</v>
      </c>
      <c r="O233" t="s">
        <v>21</v>
      </c>
      <c r="P233" t="s">
        <v>40</v>
      </c>
      <c r="Q233" s="2">
        <v>8840</v>
      </c>
    </row>
    <row r="234" spans="1:17" x14ac:dyDescent="0.2">
      <c r="A234" s="1">
        <v>43435</v>
      </c>
      <c r="B234">
        <v>41704</v>
      </c>
      <c r="C234" t="s">
        <v>80</v>
      </c>
      <c r="D234" t="s">
        <v>47</v>
      </c>
      <c r="E234" t="s">
        <v>64</v>
      </c>
      <c r="F234" s="5">
        <v>20</v>
      </c>
      <c r="G234" t="str">
        <f>IF(Data[[#This Row],[Age]]&lt;25,"Under 25",IF(Data[[#This Row],[Age]]&lt;35,"25–34",IF(Data[[#This Row],[Age]]&lt;45,"35–44",IF(Data[[#This Row],[Age]]&lt;55,"45–54","55+"))))</f>
        <v>Under 25</v>
      </c>
      <c r="H234" t="s">
        <v>49</v>
      </c>
      <c r="I234" t="s">
        <v>18</v>
      </c>
      <c r="J234" t="s">
        <v>35</v>
      </c>
      <c r="K234" s="1">
        <v>41899</v>
      </c>
      <c r="M234" s="1" t="str">
        <f>IF(ISBLANK(Data[[#This Row],[EndDate]]),"Active","InActive")</f>
        <v>Active</v>
      </c>
      <c r="N234" t="s">
        <v>20</v>
      </c>
      <c r="O234" t="s">
        <v>21</v>
      </c>
      <c r="P234" t="s">
        <v>40</v>
      </c>
      <c r="Q234" s="2">
        <v>7490</v>
      </c>
    </row>
    <row r="235" spans="1:17" x14ac:dyDescent="0.2">
      <c r="A235" s="1">
        <v>43435</v>
      </c>
      <c r="B235">
        <v>42896</v>
      </c>
      <c r="C235" t="s">
        <v>80</v>
      </c>
      <c r="D235" t="s">
        <v>41</v>
      </c>
      <c r="E235" t="s">
        <v>62</v>
      </c>
      <c r="F235" s="5">
        <v>20</v>
      </c>
      <c r="G235" t="str">
        <f>IF(Data[[#This Row],[Age]]&lt;25,"Under 25",IF(Data[[#This Row],[Age]]&lt;35,"25–34",IF(Data[[#This Row],[Age]]&lt;45,"35–44",IF(Data[[#This Row],[Age]]&lt;55,"45–54","55+"))))</f>
        <v>Under 25</v>
      </c>
      <c r="H235" t="s">
        <v>46</v>
      </c>
      <c r="I235" t="s">
        <v>18</v>
      </c>
      <c r="J235" t="s">
        <v>35</v>
      </c>
      <c r="K235" s="1">
        <v>41500</v>
      </c>
      <c r="M235" s="1" t="str">
        <f>IF(ISBLANK(Data[[#This Row],[EndDate]]),"Active","InActive")</f>
        <v>Active</v>
      </c>
      <c r="N235" t="s">
        <v>20</v>
      </c>
      <c r="O235" t="s">
        <v>21</v>
      </c>
      <c r="P235" t="s">
        <v>40</v>
      </c>
      <c r="Q235" s="2">
        <v>9310</v>
      </c>
    </row>
    <row r="236" spans="1:17" x14ac:dyDescent="0.2">
      <c r="A236" s="1">
        <v>43435</v>
      </c>
      <c r="B236">
        <v>43134</v>
      </c>
      <c r="C236" t="s">
        <v>79</v>
      </c>
      <c r="D236" t="s">
        <v>15</v>
      </c>
      <c r="E236" t="s">
        <v>70</v>
      </c>
      <c r="F236" s="5">
        <v>20</v>
      </c>
      <c r="G236" t="str">
        <f>IF(Data[[#This Row],[Age]]&lt;25,"Under 25",IF(Data[[#This Row],[Age]]&lt;35,"25–34",IF(Data[[#This Row],[Age]]&lt;45,"35–44",IF(Data[[#This Row],[Age]]&lt;55,"45–54","55+"))))</f>
        <v>Under 25</v>
      </c>
      <c r="H236" t="s">
        <v>34</v>
      </c>
      <c r="I236" t="s">
        <v>18</v>
      </c>
      <c r="J236" t="s">
        <v>35</v>
      </c>
      <c r="K236" s="1">
        <v>41486</v>
      </c>
      <c r="M236" s="1" t="str">
        <f>IF(ISBLANK(Data[[#This Row],[EndDate]]),"Active","InActive")</f>
        <v>Active</v>
      </c>
      <c r="N236" t="s">
        <v>20</v>
      </c>
      <c r="O236" t="s">
        <v>21</v>
      </c>
      <c r="P236" t="s">
        <v>40</v>
      </c>
      <c r="Q236" s="2">
        <v>5820</v>
      </c>
    </row>
    <row r="237" spans="1:17" x14ac:dyDescent="0.2">
      <c r="A237" s="1">
        <v>43435</v>
      </c>
      <c r="B237">
        <v>54744</v>
      </c>
      <c r="C237" t="s">
        <v>80</v>
      </c>
      <c r="D237" t="s">
        <v>43</v>
      </c>
      <c r="E237" t="s">
        <v>44</v>
      </c>
      <c r="F237" s="5">
        <v>20</v>
      </c>
      <c r="G237" t="str">
        <f>IF(Data[[#This Row],[Age]]&lt;25,"Under 25",IF(Data[[#This Row],[Age]]&lt;35,"25–34",IF(Data[[#This Row],[Age]]&lt;45,"35–44",IF(Data[[#This Row],[Age]]&lt;55,"45–54","55+"))))</f>
        <v>Under 25</v>
      </c>
      <c r="H237" t="s">
        <v>59</v>
      </c>
      <c r="I237" t="s">
        <v>18</v>
      </c>
      <c r="J237" t="s">
        <v>35</v>
      </c>
      <c r="K237" s="1">
        <v>41968</v>
      </c>
      <c r="M237" s="1" t="str">
        <f>IF(ISBLANK(Data[[#This Row],[EndDate]]),"Active","InActive")</f>
        <v>Active</v>
      </c>
      <c r="N237" t="s">
        <v>20</v>
      </c>
      <c r="O237" t="s">
        <v>21</v>
      </c>
      <c r="P237" t="s">
        <v>40</v>
      </c>
      <c r="Q237" s="2">
        <v>8160</v>
      </c>
    </row>
    <row r="238" spans="1:17" x14ac:dyDescent="0.2">
      <c r="A238" s="1">
        <v>42705</v>
      </c>
      <c r="B238">
        <v>27450</v>
      </c>
      <c r="C238" t="s">
        <v>79</v>
      </c>
      <c r="D238" t="s">
        <v>27</v>
      </c>
      <c r="E238" t="s">
        <v>74</v>
      </c>
      <c r="F238" s="5">
        <v>20</v>
      </c>
      <c r="G238" t="str">
        <f>IF(Data[[#This Row],[Age]]&lt;25,"Under 25",IF(Data[[#This Row],[Age]]&lt;35,"25–34",IF(Data[[#This Row],[Age]]&lt;45,"35–44",IF(Data[[#This Row],[Age]]&lt;55,"45–54","55+"))))</f>
        <v>Under 25</v>
      </c>
      <c r="H238" t="s">
        <v>17</v>
      </c>
      <c r="I238" t="s">
        <v>18</v>
      </c>
      <c r="J238" t="s">
        <v>37</v>
      </c>
      <c r="K238" s="1">
        <v>40857</v>
      </c>
      <c r="M238" s="1" t="str">
        <f>IF(ISBLANK(Data[[#This Row],[EndDate]]),"Active","InActive")</f>
        <v>Active</v>
      </c>
      <c r="N238" t="s">
        <v>20</v>
      </c>
      <c r="O238" t="s">
        <v>21</v>
      </c>
      <c r="P238" t="s">
        <v>22</v>
      </c>
      <c r="Q238" s="2">
        <v>4890</v>
      </c>
    </row>
    <row r="239" spans="1:17" x14ac:dyDescent="0.2">
      <c r="A239" s="1">
        <v>42705</v>
      </c>
      <c r="B239">
        <v>40478</v>
      </c>
      <c r="C239" t="s">
        <v>80</v>
      </c>
      <c r="D239" t="s">
        <v>27</v>
      </c>
      <c r="E239" t="s">
        <v>28</v>
      </c>
      <c r="F239" s="5">
        <v>20</v>
      </c>
      <c r="G239" t="str">
        <f>IF(Data[[#This Row],[Age]]&lt;25,"Under 25",IF(Data[[#This Row],[Age]]&lt;35,"25–34",IF(Data[[#This Row],[Age]]&lt;45,"35–44",IF(Data[[#This Row],[Age]]&lt;55,"45–54","55+"))))</f>
        <v>Under 25</v>
      </c>
      <c r="H239" t="s">
        <v>59</v>
      </c>
      <c r="I239" t="s">
        <v>18</v>
      </c>
      <c r="J239" t="s">
        <v>37</v>
      </c>
      <c r="K239" s="1">
        <v>40716</v>
      </c>
      <c r="M239" s="1" t="str">
        <f>IF(ISBLANK(Data[[#This Row],[EndDate]]),"Active","InActive")</f>
        <v>Active</v>
      </c>
      <c r="N239" t="s">
        <v>20</v>
      </c>
      <c r="O239" t="s">
        <v>21</v>
      </c>
      <c r="P239" t="s">
        <v>22</v>
      </c>
      <c r="Q239" s="2">
        <v>7710</v>
      </c>
    </row>
    <row r="240" spans="1:17" x14ac:dyDescent="0.2">
      <c r="A240" s="1">
        <v>42705</v>
      </c>
      <c r="B240">
        <v>100972</v>
      </c>
      <c r="C240" t="s">
        <v>79</v>
      </c>
      <c r="D240" t="s">
        <v>29</v>
      </c>
      <c r="E240" t="s">
        <v>36</v>
      </c>
      <c r="F240" s="5">
        <v>20</v>
      </c>
      <c r="G240" t="str">
        <f>IF(Data[[#This Row],[Age]]&lt;25,"Under 25",IF(Data[[#This Row],[Age]]&lt;35,"25–34",IF(Data[[#This Row],[Age]]&lt;45,"35–44",IF(Data[[#This Row],[Age]]&lt;55,"45–54","55+"))))</f>
        <v>Under 25</v>
      </c>
      <c r="H240" t="s">
        <v>31</v>
      </c>
      <c r="I240" t="s">
        <v>18</v>
      </c>
      <c r="J240" t="s">
        <v>37</v>
      </c>
      <c r="K240" s="1">
        <v>41216</v>
      </c>
      <c r="M240" s="1" t="str">
        <f>IF(ISBLANK(Data[[#This Row],[EndDate]]),"Active","InActive")</f>
        <v>Active</v>
      </c>
      <c r="N240" t="s">
        <v>20</v>
      </c>
      <c r="O240" t="s">
        <v>21</v>
      </c>
      <c r="P240" t="s">
        <v>22</v>
      </c>
      <c r="Q240" s="2">
        <v>3970</v>
      </c>
    </row>
    <row r="241" spans="1:17" x14ac:dyDescent="0.2">
      <c r="A241" s="1">
        <v>42705</v>
      </c>
      <c r="B241">
        <v>104238</v>
      </c>
      <c r="C241" t="s">
        <v>79</v>
      </c>
      <c r="D241" t="s">
        <v>27</v>
      </c>
      <c r="E241" t="s">
        <v>74</v>
      </c>
      <c r="F241" s="5">
        <v>20</v>
      </c>
      <c r="G241" t="str">
        <f>IF(Data[[#This Row],[Age]]&lt;25,"Under 25",IF(Data[[#This Row],[Age]]&lt;35,"25–34",IF(Data[[#This Row],[Age]]&lt;45,"35–44",IF(Data[[#This Row],[Age]]&lt;55,"45–54","55+"))))</f>
        <v>Under 25</v>
      </c>
      <c r="H241" t="s">
        <v>34</v>
      </c>
      <c r="I241" t="s">
        <v>18</v>
      </c>
      <c r="J241" t="s">
        <v>37</v>
      </c>
      <c r="K241" s="1">
        <v>40954</v>
      </c>
      <c r="M241" s="1" t="str">
        <f>IF(ISBLANK(Data[[#This Row],[EndDate]]),"Active","InActive")</f>
        <v>Active</v>
      </c>
      <c r="N241" t="s">
        <v>20</v>
      </c>
      <c r="O241" t="s">
        <v>21</v>
      </c>
      <c r="P241" t="s">
        <v>22</v>
      </c>
      <c r="Q241" s="2">
        <v>2980</v>
      </c>
    </row>
    <row r="242" spans="1:17" x14ac:dyDescent="0.2">
      <c r="A242" s="1">
        <v>42705</v>
      </c>
      <c r="B242">
        <v>106714</v>
      </c>
      <c r="C242" t="s">
        <v>79</v>
      </c>
      <c r="D242" t="s">
        <v>52</v>
      </c>
      <c r="E242" t="s">
        <v>67</v>
      </c>
      <c r="F242" s="5">
        <v>20</v>
      </c>
      <c r="G242" t="str">
        <f>IF(Data[[#This Row],[Age]]&lt;25,"Under 25",IF(Data[[#This Row],[Age]]&lt;35,"25–34",IF(Data[[#This Row],[Age]]&lt;45,"35–44",IF(Data[[#This Row],[Age]]&lt;55,"45–54","55+"))))</f>
        <v>Under 25</v>
      </c>
      <c r="H242" t="s">
        <v>25</v>
      </c>
      <c r="I242" t="s">
        <v>18</v>
      </c>
      <c r="J242" t="s">
        <v>37</v>
      </c>
      <c r="K242" s="1">
        <v>41227</v>
      </c>
      <c r="M242" s="1" t="str">
        <f>IF(ISBLANK(Data[[#This Row],[EndDate]]),"Active","InActive")</f>
        <v>Active</v>
      </c>
      <c r="N242" t="s">
        <v>20</v>
      </c>
      <c r="O242" t="s">
        <v>21</v>
      </c>
      <c r="P242" t="s">
        <v>22</v>
      </c>
      <c r="Q242" s="2">
        <v>8040</v>
      </c>
    </row>
    <row r="243" spans="1:17" x14ac:dyDescent="0.2">
      <c r="A243" s="1">
        <v>42705</v>
      </c>
      <c r="B243">
        <v>120444</v>
      </c>
      <c r="C243" t="s">
        <v>80</v>
      </c>
      <c r="D243" t="s">
        <v>41</v>
      </c>
      <c r="E243" t="s">
        <v>42</v>
      </c>
      <c r="F243" s="5">
        <v>20</v>
      </c>
      <c r="G243" t="str">
        <f>IF(Data[[#This Row],[Age]]&lt;25,"Under 25",IF(Data[[#This Row],[Age]]&lt;35,"25–34",IF(Data[[#This Row],[Age]]&lt;45,"35–44",IF(Data[[#This Row],[Age]]&lt;55,"45–54","55+"))))</f>
        <v>Under 25</v>
      </c>
      <c r="H243" t="s">
        <v>25</v>
      </c>
      <c r="I243" t="s">
        <v>18</v>
      </c>
      <c r="J243" t="s">
        <v>37</v>
      </c>
      <c r="K243" s="1">
        <v>40947</v>
      </c>
      <c r="M243" s="1" t="str">
        <f>IF(ISBLANK(Data[[#This Row],[EndDate]]),"Active","InActive")</f>
        <v>Active</v>
      </c>
      <c r="N243" t="s">
        <v>20</v>
      </c>
      <c r="O243" t="s">
        <v>21</v>
      </c>
      <c r="P243" t="s">
        <v>22</v>
      </c>
      <c r="Q243" s="2">
        <v>4550</v>
      </c>
    </row>
    <row r="244" spans="1:17" x14ac:dyDescent="0.2">
      <c r="A244" s="1">
        <v>43070</v>
      </c>
      <c r="B244">
        <v>1972</v>
      </c>
      <c r="C244" t="s">
        <v>80</v>
      </c>
      <c r="D244" t="s">
        <v>52</v>
      </c>
      <c r="E244" t="s">
        <v>69</v>
      </c>
      <c r="F244" s="5">
        <v>20</v>
      </c>
      <c r="G244" t="str">
        <f>IF(Data[[#This Row],[Age]]&lt;25,"Under 25",IF(Data[[#This Row],[Age]]&lt;35,"25–34",IF(Data[[#This Row],[Age]]&lt;45,"35–44",IF(Data[[#This Row],[Age]]&lt;55,"45–54","55+"))))</f>
        <v>Under 25</v>
      </c>
      <c r="H244" t="s">
        <v>25</v>
      </c>
      <c r="I244" t="s">
        <v>18</v>
      </c>
      <c r="J244" t="s">
        <v>37</v>
      </c>
      <c r="K244" s="1">
        <v>41543</v>
      </c>
      <c r="M244" s="1" t="str">
        <f>IF(ISBLANK(Data[[#This Row],[EndDate]]),"Active","InActive")</f>
        <v>Active</v>
      </c>
      <c r="N244" t="s">
        <v>20</v>
      </c>
      <c r="O244" t="s">
        <v>21</v>
      </c>
      <c r="P244" t="s">
        <v>32</v>
      </c>
      <c r="Q244" s="2">
        <v>2140</v>
      </c>
    </row>
    <row r="245" spans="1:17" x14ac:dyDescent="0.2">
      <c r="A245" s="1">
        <v>43070</v>
      </c>
      <c r="B245">
        <v>9460</v>
      </c>
      <c r="C245" t="s">
        <v>80</v>
      </c>
      <c r="D245" t="s">
        <v>50</v>
      </c>
      <c r="E245" t="s">
        <v>63</v>
      </c>
      <c r="F245" s="5">
        <v>20</v>
      </c>
      <c r="G245" t="str">
        <f>IF(Data[[#This Row],[Age]]&lt;25,"Under 25",IF(Data[[#This Row],[Age]]&lt;35,"25–34",IF(Data[[#This Row],[Age]]&lt;45,"35–44",IF(Data[[#This Row],[Age]]&lt;55,"45–54","55+"))))</f>
        <v>Under 25</v>
      </c>
      <c r="H245" t="s">
        <v>31</v>
      </c>
      <c r="I245" t="s">
        <v>18</v>
      </c>
      <c r="J245" t="s">
        <v>37</v>
      </c>
      <c r="K245" s="1">
        <v>40813</v>
      </c>
      <c r="M245" s="1" t="str">
        <f>IF(ISBLANK(Data[[#This Row],[EndDate]]),"Active","InActive")</f>
        <v>Active</v>
      </c>
      <c r="N245" t="s">
        <v>20</v>
      </c>
      <c r="O245" t="s">
        <v>21</v>
      </c>
      <c r="P245" t="s">
        <v>32</v>
      </c>
      <c r="Q245" s="2">
        <v>4950</v>
      </c>
    </row>
    <row r="246" spans="1:17" x14ac:dyDescent="0.2">
      <c r="A246" s="1">
        <v>43070</v>
      </c>
      <c r="B246">
        <v>21870</v>
      </c>
      <c r="C246" t="s">
        <v>79</v>
      </c>
      <c r="D246" t="s">
        <v>29</v>
      </c>
      <c r="E246" t="s">
        <v>33</v>
      </c>
      <c r="F246" s="5">
        <v>20</v>
      </c>
      <c r="G246" t="str">
        <f>IF(Data[[#This Row],[Age]]&lt;25,"Under 25",IF(Data[[#This Row],[Age]]&lt;35,"25–34",IF(Data[[#This Row],[Age]]&lt;45,"35–44",IF(Data[[#This Row],[Age]]&lt;55,"45–54","55+"))))</f>
        <v>Under 25</v>
      </c>
      <c r="H246" t="s">
        <v>59</v>
      </c>
      <c r="I246" t="s">
        <v>18</v>
      </c>
      <c r="J246" t="s">
        <v>37</v>
      </c>
      <c r="K246" s="1">
        <v>41530</v>
      </c>
      <c r="M246" s="1" t="str">
        <f>IF(ISBLANK(Data[[#This Row],[EndDate]]),"Active","InActive")</f>
        <v>Active</v>
      </c>
      <c r="N246" t="s">
        <v>20</v>
      </c>
      <c r="O246" t="s">
        <v>21</v>
      </c>
      <c r="P246" t="s">
        <v>32</v>
      </c>
      <c r="Q246" s="2">
        <v>5030</v>
      </c>
    </row>
    <row r="247" spans="1:17" x14ac:dyDescent="0.2">
      <c r="A247" s="1">
        <v>43070</v>
      </c>
      <c r="B247">
        <v>23112</v>
      </c>
      <c r="C247" t="s">
        <v>79</v>
      </c>
      <c r="D247" t="s">
        <v>38</v>
      </c>
      <c r="E247" t="s">
        <v>39</v>
      </c>
      <c r="F247" s="5">
        <v>20</v>
      </c>
      <c r="G247" t="str">
        <f>IF(Data[[#This Row],[Age]]&lt;25,"Under 25",IF(Data[[#This Row],[Age]]&lt;35,"25–34",IF(Data[[#This Row],[Age]]&lt;45,"35–44",IF(Data[[#This Row],[Age]]&lt;55,"45–54","55+"))))</f>
        <v>Under 25</v>
      </c>
      <c r="H247" t="s">
        <v>17</v>
      </c>
      <c r="I247" t="s">
        <v>18</v>
      </c>
      <c r="J247" t="s">
        <v>37</v>
      </c>
      <c r="K247" s="1">
        <v>40961</v>
      </c>
      <c r="M247" s="1" t="str">
        <f>IF(ISBLANK(Data[[#This Row],[EndDate]]),"Active","InActive")</f>
        <v>Active</v>
      </c>
      <c r="N247" t="s">
        <v>20</v>
      </c>
      <c r="O247" t="s">
        <v>21</v>
      </c>
      <c r="P247" t="s">
        <v>32</v>
      </c>
      <c r="Q247" s="2">
        <v>5160</v>
      </c>
    </row>
    <row r="248" spans="1:17" x14ac:dyDescent="0.2">
      <c r="A248" s="1">
        <v>43070</v>
      </c>
      <c r="B248">
        <v>40484</v>
      </c>
      <c r="C248" t="s">
        <v>80</v>
      </c>
      <c r="D248" t="s">
        <v>41</v>
      </c>
      <c r="E248" t="s">
        <v>68</v>
      </c>
      <c r="F248" s="5">
        <v>20</v>
      </c>
      <c r="G248" t="str">
        <f>IF(Data[[#This Row],[Age]]&lt;25,"Under 25",IF(Data[[#This Row],[Age]]&lt;35,"25–34",IF(Data[[#This Row],[Age]]&lt;45,"35–44",IF(Data[[#This Row],[Age]]&lt;55,"45–54","55+"))))</f>
        <v>Under 25</v>
      </c>
      <c r="H248" t="s">
        <v>25</v>
      </c>
      <c r="I248" t="s">
        <v>18</v>
      </c>
      <c r="J248" t="s">
        <v>37</v>
      </c>
      <c r="K248" s="1">
        <v>40890</v>
      </c>
      <c r="M248" s="1" t="str">
        <f>IF(ISBLANK(Data[[#This Row],[EndDate]]),"Active","InActive")</f>
        <v>Active</v>
      </c>
      <c r="N248" t="s">
        <v>20</v>
      </c>
      <c r="O248" t="s">
        <v>21</v>
      </c>
      <c r="P248" t="s">
        <v>32</v>
      </c>
      <c r="Q248" s="2">
        <v>9450</v>
      </c>
    </row>
    <row r="249" spans="1:17" x14ac:dyDescent="0.2">
      <c r="A249" s="1">
        <v>43070</v>
      </c>
      <c r="B249">
        <v>40506</v>
      </c>
      <c r="C249" t="s">
        <v>80</v>
      </c>
      <c r="D249" t="s">
        <v>41</v>
      </c>
      <c r="E249" t="s">
        <v>62</v>
      </c>
      <c r="F249" s="5">
        <v>20</v>
      </c>
      <c r="G249" t="str">
        <f>IF(Data[[#This Row],[Age]]&lt;25,"Under 25",IF(Data[[#This Row],[Age]]&lt;35,"25–34",IF(Data[[#This Row],[Age]]&lt;45,"35–44",IF(Data[[#This Row],[Age]]&lt;55,"45–54","55+"))))</f>
        <v>Under 25</v>
      </c>
      <c r="H249" t="s">
        <v>17</v>
      </c>
      <c r="I249" t="s">
        <v>18</v>
      </c>
      <c r="J249" t="s">
        <v>37</v>
      </c>
      <c r="K249" s="1">
        <v>41117</v>
      </c>
      <c r="M249" s="1" t="str">
        <f>IF(ISBLANK(Data[[#This Row],[EndDate]]),"Active","InActive")</f>
        <v>Active</v>
      </c>
      <c r="N249" t="s">
        <v>20</v>
      </c>
      <c r="O249" t="s">
        <v>21</v>
      </c>
      <c r="P249" t="s">
        <v>32</v>
      </c>
      <c r="Q249" s="2">
        <v>7680</v>
      </c>
    </row>
    <row r="250" spans="1:17" x14ac:dyDescent="0.2">
      <c r="A250" s="1">
        <v>43435</v>
      </c>
      <c r="B250">
        <v>40440</v>
      </c>
      <c r="C250" t="s">
        <v>79</v>
      </c>
      <c r="D250" t="s">
        <v>15</v>
      </c>
      <c r="E250" t="s">
        <v>70</v>
      </c>
      <c r="F250" s="5">
        <v>20</v>
      </c>
      <c r="G250" t="str">
        <f>IF(Data[[#This Row],[Age]]&lt;25,"Under 25",IF(Data[[#This Row],[Age]]&lt;35,"25–34",IF(Data[[#This Row],[Age]]&lt;45,"35–44",IF(Data[[#This Row],[Age]]&lt;55,"45–54","55+"))))</f>
        <v>Under 25</v>
      </c>
      <c r="H250" t="s">
        <v>17</v>
      </c>
      <c r="I250" t="s">
        <v>18</v>
      </c>
      <c r="J250" t="s">
        <v>37</v>
      </c>
      <c r="K250" s="1">
        <v>41913</v>
      </c>
      <c r="M250" s="1" t="str">
        <f>IF(ISBLANK(Data[[#This Row],[EndDate]]),"Active","InActive")</f>
        <v>Active</v>
      </c>
      <c r="N250" t="s">
        <v>20</v>
      </c>
      <c r="O250" t="s">
        <v>21</v>
      </c>
      <c r="P250" t="s">
        <v>40</v>
      </c>
      <c r="Q250" s="2">
        <v>3020</v>
      </c>
    </row>
    <row r="251" spans="1:17" x14ac:dyDescent="0.2">
      <c r="A251" s="1">
        <v>43435</v>
      </c>
      <c r="B251">
        <v>40514</v>
      </c>
      <c r="C251" t="s">
        <v>79</v>
      </c>
      <c r="D251" t="s">
        <v>47</v>
      </c>
      <c r="E251" t="s">
        <v>73</v>
      </c>
      <c r="F251" s="5">
        <v>20</v>
      </c>
      <c r="G251" t="str">
        <f>IF(Data[[#This Row],[Age]]&lt;25,"Under 25",IF(Data[[#This Row],[Age]]&lt;35,"25–34",IF(Data[[#This Row],[Age]]&lt;45,"35–44",IF(Data[[#This Row],[Age]]&lt;55,"45–54","55+"))))</f>
        <v>Under 25</v>
      </c>
      <c r="H251" t="s">
        <v>25</v>
      </c>
      <c r="I251" t="s">
        <v>18</v>
      </c>
      <c r="J251" t="s">
        <v>37</v>
      </c>
      <c r="K251" s="1">
        <v>41872</v>
      </c>
      <c r="M251" s="1" t="str">
        <f>IF(ISBLANK(Data[[#This Row],[EndDate]]),"Active","InActive")</f>
        <v>Active</v>
      </c>
      <c r="N251" t="s">
        <v>20</v>
      </c>
      <c r="O251" t="s">
        <v>21</v>
      </c>
      <c r="P251" t="s">
        <v>40</v>
      </c>
      <c r="Q251" s="2">
        <v>1810</v>
      </c>
    </row>
    <row r="252" spans="1:17" x14ac:dyDescent="0.2">
      <c r="A252" s="1">
        <v>43435</v>
      </c>
      <c r="B252">
        <v>40516</v>
      </c>
      <c r="C252" t="s">
        <v>79</v>
      </c>
      <c r="D252" t="s">
        <v>47</v>
      </c>
      <c r="E252" t="s">
        <v>48</v>
      </c>
      <c r="F252" s="5">
        <v>20</v>
      </c>
      <c r="G252" t="str">
        <f>IF(Data[[#This Row],[Age]]&lt;25,"Under 25",IF(Data[[#This Row],[Age]]&lt;35,"25–34",IF(Data[[#This Row],[Age]]&lt;45,"35–44",IF(Data[[#This Row],[Age]]&lt;55,"45–54","55+"))))</f>
        <v>Under 25</v>
      </c>
      <c r="H252" t="s">
        <v>31</v>
      </c>
      <c r="I252" t="s">
        <v>18</v>
      </c>
      <c r="J252" t="s">
        <v>37</v>
      </c>
      <c r="K252" s="1">
        <v>41950</v>
      </c>
      <c r="M252" s="1" t="str">
        <f>IF(ISBLANK(Data[[#This Row],[EndDate]]),"Active","InActive")</f>
        <v>Active</v>
      </c>
      <c r="N252" t="s">
        <v>20</v>
      </c>
      <c r="O252" t="s">
        <v>21</v>
      </c>
      <c r="P252" t="s">
        <v>40</v>
      </c>
      <c r="Q252" s="2">
        <v>6180</v>
      </c>
    </row>
    <row r="253" spans="1:17" x14ac:dyDescent="0.2">
      <c r="A253" s="1">
        <v>43435</v>
      </c>
      <c r="B253">
        <v>40560</v>
      </c>
      <c r="C253" t="s">
        <v>80</v>
      </c>
      <c r="D253" t="s">
        <v>29</v>
      </c>
      <c r="E253" t="s">
        <v>33</v>
      </c>
      <c r="F253" s="5">
        <v>20</v>
      </c>
      <c r="G253" t="str">
        <f>IF(Data[[#This Row],[Age]]&lt;25,"Under 25",IF(Data[[#This Row],[Age]]&lt;35,"25–34",IF(Data[[#This Row],[Age]]&lt;45,"35–44",IF(Data[[#This Row],[Age]]&lt;55,"45–54","55+"))))</f>
        <v>Under 25</v>
      </c>
      <c r="H253" t="s">
        <v>17</v>
      </c>
      <c r="I253" t="s">
        <v>18</v>
      </c>
      <c r="J253" t="s">
        <v>37</v>
      </c>
      <c r="K253" s="1">
        <v>41945</v>
      </c>
      <c r="M253" s="1" t="str">
        <f>IF(ISBLANK(Data[[#This Row],[EndDate]]),"Active","InActive")</f>
        <v>Active</v>
      </c>
      <c r="N253" t="s">
        <v>20</v>
      </c>
      <c r="O253" t="s">
        <v>21</v>
      </c>
      <c r="P253" t="s">
        <v>40</v>
      </c>
      <c r="Q253" s="2">
        <v>3760</v>
      </c>
    </row>
    <row r="254" spans="1:17" x14ac:dyDescent="0.2">
      <c r="A254" s="1">
        <v>43435</v>
      </c>
      <c r="B254">
        <v>40720</v>
      </c>
      <c r="C254" t="s">
        <v>79</v>
      </c>
      <c r="D254" t="s">
        <v>23</v>
      </c>
      <c r="E254" t="s">
        <v>24</v>
      </c>
      <c r="F254" s="5">
        <v>20</v>
      </c>
      <c r="G254" t="str">
        <f>IF(Data[[#This Row],[Age]]&lt;25,"Under 25",IF(Data[[#This Row],[Age]]&lt;35,"25–34",IF(Data[[#This Row],[Age]]&lt;45,"35–44",IF(Data[[#This Row],[Age]]&lt;55,"45–54","55+"))))</f>
        <v>Under 25</v>
      </c>
      <c r="H254" t="s">
        <v>17</v>
      </c>
      <c r="I254" t="s">
        <v>18</v>
      </c>
      <c r="J254" t="s">
        <v>37</v>
      </c>
      <c r="K254" s="1">
        <v>41935</v>
      </c>
      <c r="M254" s="1" t="str">
        <f>IF(ISBLANK(Data[[#This Row],[EndDate]]),"Active","InActive")</f>
        <v>Active</v>
      </c>
      <c r="N254" t="s">
        <v>20</v>
      </c>
      <c r="O254" t="s">
        <v>21</v>
      </c>
      <c r="P254" t="s">
        <v>40</v>
      </c>
      <c r="Q254" s="2">
        <v>3570</v>
      </c>
    </row>
    <row r="255" spans="1:17" x14ac:dyDescent="0.2">
      <c r="A255" s="1">
        <v>43435</v>
      </c>
      <c r="B255">
        <v>43416</v>
      </c>
      <c r="C255" t="s">
        <v>80</v>
      </c>
      <c r="D255" t="s">
        <v>38</v>
      </c>
      <c r="E255" t="s">
        <v>39</v>
      </c>
      <c r="F255" s="5">
        <v>20</v>
      </c>
      <c r="G255" t="str">
        <f>IF(Data[[#This Row],[Age]]&lt;25,"Under 25",IF(Data[[#This Row],[Age]]&lt;35,"25–34",IF(Data[[#This Row],[Age]]&lt;45,"35–44",IF(Data[[#This Row],[Age]]&lt;55,"45–54","55+"))))</f>
        <v>Under 25</v>
      </c>
      <c r="H255" t="s">
        <v>31</v>
      </c>
      <c r="I255" t="s">
        <v>18</v>
      </c>
      <c r="J255" t="s">
        <v>37</v>
      </c>
      <c r="K255" s="1">
        <v>41817</v>
      </c>
      <c r="M255" s="1" t="str">
        <f>IF(ISBLANK(Data[[#This Row],[EndDate]]),"Active","InActive")</f>
        <v>Active</v>
      </c>
      <c r="N255" t="s">
        <v>20</v>
      </c>
      <c r="O255" t="s">
        <v>21</v>
      </c>
      <c r="P255" t="s">
        <v>40</v>
      </c>
      <c r="Q255" s="2">
        <v>2520</v>
      </c>
    </row>
    <row r="256" spans="1:17" x14ac:dyDescent="0.2">
      <c r="A256" s="1">
        <v>43435</v>
      </c>
      <c r="B256">
        <v>43732</v>
      </c>
      <c r="C256" t="s">
        <v>79</v>
      </c>
      <c r="D256" t="s">
        <v>47</v>
      </c>
      <c r="E256" t="s">
        <v>64</v>
      </c>
      <c r="F256" s="5">
        <v>20</v>
      </c>
      <c r="G256" t="str">
        <f>IF(Data[[#This Row],[Age]]&lt;25,"Under 25",IF(Data[[#This Row],[Age]]&lt;35,"25–34",IF(Data[[#This Row],[Age]]&lt;45,"35–44",IF(Data[[#This Row],[Age]]&lt;55,"45–54","55+"))))</f>
        <v>Under 25</v>
      </c>
      <c r="H256" t="s">
        <v>17</v>
      </c>
      <c r="I256" t="s">
        <v>18</v>
      </c>
      <c r="J256" t="s">
        <v>37</v>
      </c>
      <c r="K256" s="1">
        <v>41878</v>
      </c>
      <c r="M256" s="1" t="str">
        <f>IF(ISBLANK(Data[[#This Row],[EndDate]]),"Active","InActive")</f>
        <v>Active</v>
      </c>
      <c r="N256" t="s">
        <v>20</v>
      </c>
      <c r="O256" t="s">
        <v>21</v>
      </c>
      <c r="P256" t="s">
        <v>40</v>
      </c>
      <c r="Q256" s="2">
        <v>5390</v>
      </c>
    </row>
    <row r="257" spans="1:17" x14ac:dyDescent="0.2">
      <c r="A257" s="1">
        <v>43435</v>
      </c>
      <c r="B257">
        <v>52986</v>
      </c>
      <c r="C257" t="s">
        <v>79</v>
      </c>
      <c r="D257" t="s">
        <v>27</v>
      </c>
      <c r="E257" t="s">
        <v>28</v>
      </c>
      <c r="F257" s="5">
        <v>20</v>
      </c>
      <c r="G257" t="str">
        <f>IF(Data[[#This Row],[Age]]&lt;25,"Under 25",IF(Data[[#This Row],[Age]]&lt;35,"25–34",IF(Data[[#This Row],[Age]]&lt;45,"35–44",IF(Data[[#This Row],[Age]]&lt;55,"45–54","55+"))))</f>
        <v>Under 25</v>
      </c>
      <c r="H257" t="s">
        <v>59</v>
      </c>
      <c r="I257" t="s">
        <v>18</v>
      </c>
      <c r="J257" t="s">
        <v>37</v>
      </c>
      <c r="K257" s="1">
        <v>41103</v>
      </c>
      <c r="M257" s="1" t="str">
        <f>IF(ISBLANK(Data[[#This Row],[EndDate]]),"Active","InActive")</f>
        <v>Active</v>
      </c>
      <c r="N257" t="s">
        <v>20</v>
      </c>
      <c r="O257" t="s">
        <v>21</v>
      </c>
      <c r="P257" t="s">
        <v>40</v>
      </c>
      <c r="Q257" s="2">
        <v>8430</v>
      </c>
    </row>
    <row r="258" spans="1:17" x14ac:dyDescent="0.2">
      <c r="A258" s="1">
        <v>42705</v>
      </c>
      <c r="B258">
        <v>49302</v>
      </c>
      <c r="C258" t="s">
        <v>79</v>
      </c>
      <c r="D258" t="s">
        <v>43</v>
      </c>
      <c r="E258" t="s">
        <v>60</v>
      </c>
      <c r="F258" s="5">
        <v>20</v>
      </c>
      <c r="G258" t="str">
        <f>IF(Data[[#This Row],[Age]]&lt;25,"Under 25",IF(Data[[#This Row],[Age]]&lt;35,"25–34",IF(Data[[#This Row],[Age]]&lt;45,"35–44",IF(Data[[#This Row],[Age]]&lt;55,"45–54","55+"))))</f>
        <v>Under 25</v>
      </c>
      <c r="H258" t="s">
        <v>49</v>
      </c>
      <c r="I258" t="s">
        <v>18</v>
      </c>
      <c r="J258" t="s">
        <v>37</v>
      </c>
      <c r="K258" s="1">
        <v>39429</v>
      </c>
      <c r="M258" s="1" t="str">
        <f>IF(ISBLANK(Data[[#This Row],[EndDate]]),"Active","InActive")</f>
        <v>Active</v>
      </c>
      <c r="N258" t="s">
        <v>20</v>
      </c>
      <c r="O258" t="s">
        <v>21</v>
      </c>
      <c r="P258" t="s">
        <v>22</v>
      </c>
      <c r="Q258" s="2">
        <v>3830</v>
      </c>
    </row>
    <row r="259" spans="1:17" x14ac:dyDescent="0.2">
      <c r="A259" s="1">
        <v>42705</v>
      </c>
      <c r="B259">
        <v>104166</v>
      </c>
      <c r="C259" t="s">
        <v>79</v>
      </c>
      <c r="D259" t="s">
        <v>27</v>
      </c>
      <c r="E259" t="s">
        <v>72</v>
      </c>
      <c r="F259" s="5">
        <v>20</v>
      </c>
      <c r="G259" t="str">
        <f>IF(Data[[#This Row],[Age]]&lt;25,"Under 25",IF(Data[[#This Row],[Age]]&lt;35,"25–34",IF(Data[[#This Row],[Age]]&lt;45,"35–44",IF(Data[[#This Row],[Age]]&lt;55,"45–54","55+"))))</f>
        <v>Under 25</v>
      </c>
      <c r="H259" t="s">
        <v>49</v>
      </c>
      <c r="I259" t="s">
        <v>18</v>
      </c>
      <c r="J259" t="s">
        <v>37</v>
      </c>
      <c r="K259" s="1">
        <v>41150</v>
      </c>
      <c r="M259" s="1" t="str">
        <f>IF(ISBLANK(Data[[#This Row],[EndDate]]),"Active","InActive")</f>
        <v>Active</v>
      </c>
      <c r="N259" t="s">
        <v>20</v>
      </c>
      <c r="O259" t="s">
        <v>21</v>
      </c>
      <c r="P259" t="s">
        <v>22</v>
      </c>
      <c r="Q259" s="2">
        <v>8190</v>
      </c>
    </row>
    <row r="260" spans="1:17" x14ac:dyDescent="0.2">
      <c r="A260" s="1">
        <v>43435</v>
      </c>
      <c r="B260">
        <v>40462</v>
      </c>
      <c r="C260" t="s">
        <v>79</v>
      </c>
      <c r="D260" t="s">
        <v>47</v>
      </c>
      <c r="E260" t="s">
        <v>73</v>
      </c>
      <c r="F260" s="5">
        <v>20</v>
      </c>
      <c r="G260" t="str">
        <f>IF(Data[[#This Row],[Age]]&lt;25,"Under 25",IF(Data[[#This Row],[Age]]&lt;35,"25–34",IF(Data[[#This Row],[Age]]&lt;45,"35–44",IF(Data[[#This Row],[Age]]&lt;55,"45–54","55+"))))</f>
        <v>Under 25</v>
      </c>
      <c r="H260" t="s">
        <v>49</v>
      </c>
      <c r="I260" t="s">
        <v>18</v>
      </c>
      <c r="J260" t="s">
        <v>37</v>
      </c>
      <c r="K260" s="1">
        <v>41536</v>
      </c>
      <c r="M260" s="1" t="str">
        <f>IF(ISBLANK(Data[[#This Row],[EndDate]]),"Active","InActive")</f>
        <v>Active</v>
      </c>
      <c r="N260" t="s">
        <v>20</v>
      </c>
      <c r="O260" t="s">
        <v>21</v>
      </c>
      <c r="P260" t="s">
        <v>40</v>
      </c>
      <c r="Q260" s="2">
        <v>8640</v>
      </c>
    </row>
    <row r="261" spans="1:17" x14ac:dyDescent="0.2">
      <c r="A261" s="1">
        <v>43435</v>
      </c>
      <c r="B261">
        <v>40530</v>
      </c>
      <c r="C261" t="s">
        <v>80</v>
      </c>
      <c r="D261" t="s">
        <v>29</v>
      </c>
      <c r="E261" t="s">
        <v>33</v>
      </c>
      <c r="F261" s="5">
        <v>20</v>
      </c>
      <c r="G261" t="str">
        <f>IF(Data[[#This Row],[Age]]&lt;25,"Under 25",IF(Data[[#This Row],[Age]]&lt;35,"25–34",IF(Data[[#This Row],[Age]]&lt;45,"35–44",IF(Data[[#This Row],[Age]]&lt;55,"45–54","55+"))))</f>
        <v>Under 25</v>
      </c>
      <c r="H261" t="s">
        <v>49</v>
      </c>
      <c r="I261" t="s">
        <v>18</v>
      </c>
      <c r="J261" t="s">
        <v>37</v>
      </c>
      <c r="K261" s="1">
        <v>41724</v>
      </c>
      <c r="M261" s="1" t="str">
        <f>IF(ISBLANK(Data[[#This Row],[EndDate]]),"Active","InActive")</f>
        <v>Active</v>
      </c>
      <c r="N261" t="s">
        <v>20</v>
      </c>
      <c r="O261" t="s">
        <v>21</v>
      </c>
      <c r="P261" t="s">
        <v>40</v>
      </c>
      <c r="Q261" s="2">
        <v>3050</v>
      </c>
    </row>
    <row r="262" spans="1:17" x14ac:dyDescent="0.2">
      <c r="A262" s="1">
        <v>43435</v>
      </c>
      <c r="B262">
        <v>43570</v>
      </c>
      <c r="C262" t="s">
        <v>79</v>
      </c>
      <c r="D262" t="s">
        <v>50</v>
      </c>
      <c r="E262" t="s">
        <v>63</v>
      </c>
      <c r="F262" s="5">
        <v>20</v>
      </c>
      <c r="G262" t="str">
        <f>IF(Data[[#This Row],[Age]]&lt;25,"Under 25",IF(Data[[#This Row],[Age]]&lt;35,"25–34",IF(Data[[#This Row],[Age]]&lt;45,"35–44",IF(Data[[#This Row],[Age]]&lt;55,"45–54","55+"))))</f>
        <v>Under 25</v>
      </c>
      <c r="H262" t="s">
        <v>49</v>
      </c>
      <c r="I262" t="s">
        <v>18</v>
      </c>
      <c r="J262" t="s">
        <v>37</v>
      </c>
      <c r="K262" s="1">
        <v>41584</v>
      </c>
      <c r="M262" s="1" t="str">
        <f>IF(ISBLANK(Data[[#This Row],[EndDate]]),"Active","InActive")</f>
        <v>Active</v>
      </c>
      <c r="N262" t="s">
        <v>20</v>
      </c>
      <c r="O262" t="s">
        <v>21</v>
      </c>
      <c r="P262" t="s">
        <v>40</v>
      </c>
      <c r="Q262" s="2">
        <v>7520</v>
      </c>
    </row>
    <row r="263" spans="1:17" x14ac:dyDescent="0.2">
      <c r="A263" s="1">
        <v>43435</v>
      </c>
      <c r="B263">
        <v>43764</v>
      </c>
      <c r="C263" t="s">
        <v>79</v>
      </c>
      <c r="D263" t="s">
        <v>38</v>
      </c>
      <c r="E263" t="s">
        <v>39</v>
      </c>
      <c r="F263" s="5">
        <v>20</v>
      </c>
      <c r="G263" t="str">
        <f>IF(Data[[#This Row],[Age]]&lt;25,"Under 25",IF(Data[[#This Row],[Age]]&lt;35,"25–34",IF(Data[[#This Row],[Age]]&lt;45,"35–44",IF(Data[[#This Row],[Age]]&lt;55,"45–54","55+"))))</f>
        <v>Under 25</v>
      </c>
      <c r="H263" t="s">
        <v>49</v>
      </c>
      <c r="I263" t="s">
        <v>18</v>
      </c>
      <c r="J263" t="s">
        <v>37</v>
      </c>
      <c r="K263" s="1">
        <v>41788</v>
      </c>
      <c r="M263" s="1" t="str">
        <f>IF(ISBLANK(Data[[#This Row],[EndDate]]),"Active","InActive")</f>
        <v>Active</v>
      </c>
      <c r="N263" t="s">
        <v>20</v>
      </c>
      <c r="O263" t="s">
        <v>21</v>
      </c>
      <c r="P263" t="s">
        <v>40</v>
      </c>
      <c r="Q263" s="2">
        <v>7590</v>
      </c>
    </row>
    <row r="264" spans="1:17" x14ac:dyDescent="0.2">
      <c r="A264" s="1">
        <v>43435</v>
      </c>
      <c r="B264">
        <v>91790</v>
      </c>
      <c r="C264" t="s">
        <v>80</v>
      </c>
      <c r="D264" t="s">
        <v>23</v>
      </c>
      <c r="E264" t="s">
        <v>24</v>
      </c>
      <c r="F264" s="5">
        <v>20</v>
      </c>
      <c r="G264" t="str">
        <f>IF(Data[[#This Row],[Age]]&lt;25,"Under 25",IF(Data[[#This Row],[Age]]&lt;35,"25–34",IF(Data[[#This Row],[Age]]&lt;45,"35–44",IF(Data[[#This Row],[Age]]&lt;55,"45–54","55+"))))</f>
        <v>Under 25</v>
      </c>
      <c r="H264" t="s">
        <v>49</v>
      </c>
      <c r="I264" t="s">
        <v>18</v>
      </c>
      <c r="J264" t="s">
        <v>37</v>
      </c>
      <c r="K264" s="1">
        <v>41278</v>
      </c>
      <c r="M264" s="1" t="str">
        <f>IF(ISBLANK(Data[[#This Row],[EndDate]]),"Active","InActive")</f>
        <v>Active</v>
      </c>
      <c r="N264" t="s">
        <v>20</v>
      </c>
      <c r="O264" t="s">
        <v>21</v>
      </c>
      <c r="P264" t="s">
        <v>40</v>
      </c>
      <c r="Q264" s="2">
        <v>4060</v>
      </c>
    </row>
    <row r="265" spans="1:17" x14ac:dyDescent="0.2">
      <c r="A265" s="1">
        <v>42705</v>
      </c>
      <c r="B265">
        <v>98864</v>
      </c>
      <c r="C265" t="s">
        <v>79</v>
      </c>
      <c r="D265" t="s">
        <v>41</v>
      </c>
      <c r="E265" t="s">
        <v>68</v>
      </c>
      <c r="F265" s="5">
        <v>20</v>
      </c>
      <c r="G265" t="str">
        <f>IF(Data[[#This Row],[Age]]&lt;25,"Under 25",IF(Data[[#This Row],[Age]]&lt;35,"25–34",IF(Data[[#This Row],[Age]]&lt;45,"35–44",IF(Data[[#This Row],[Age]]&lt;55,"45–54","55+"))))</f>
        <v>Under 25</v>
      </c>
      <c r="H265" t="s">
        <v>46</v>
      </c>
      <c r="I265" t="s">
        <v>18</v>
      </c>
      <c r="J265" t="s">
        <v>37</v>
      </c>
      <c r="K265" s="1">
        <v>41243</v>
      </c>
      <c r="M265" s="1" t="str">
        <f>IF(ISBLANK(Data[[#This Row],[EndDate]]),"Active","InActive")</f>
        <v>Active</v>
      </c>
      <c r="N265" t="s">
        <v>20</v>
      </c>
      <c r="O265" t="s">
        <v>21</v>
      </c>
      <c r="P265" t="s">
        <v>22</v>
      </c>
      <c r="Q265" s="2">
        <v>2270</v>
      </c>
    </row>
    <row r="266" spans="1:17" x14ac:dyDescent="0.2">
      <c r="A266" s="1">
        <v>42705</v>
      </c>
      <c r="B266">
        <v>99112</v>
      </c>
      <c r="C266" t="s">
        <v>80</v>
      </c>
      <c r="D266" t="s">
        <v>52</v>
      </c>
      <c r="E266" t="s">
        <v>53</v>
      </c>
      <c r="F266" s="5">
        <v>20</v>
      </c>
      <c r="G266" t="str">
        <f>IF(Data[[#This Row],[Age]]&lt;25,"Under 25",IF(Data[[#This Row],[Age]]&lt;35,"25–34",IF(Data[[#This Row],[Age]]&lt;45,"35–44",IF(Data[[#This Row],[Age]]&lt;55,"45–54","55+"))))</f>
        <v>Under 25</v>
      </c>
      <c r="H266" t="s">
        <v>25</v>
      </c>
      <c r="I266" t="s">
        <v>18</v>
      </c>
      <c r="J266" t="s">
        <v>35</v>
      </c>
      <c r="K266" s="1">
        <v>41221</v>
      </c>
      <c r="M266" s="1" t="str">
        <f>IF(ISBLANK(Data[[#This Row],[EndDate]]),"Active","InActive")</f>
        <v>Active</v>
      </c>
      <c r="N266" t="s">
        <v>20</v>
      </c>
      <c r="O266" t="s">
        <v>21</v>
      </c>
      <c r="P266" t="s">
        <v>22</v>
      </c>
      <c r="Q266" s="2">
        <v>7090</v>
      </c>
    </row>
    <row r="267" spans="1:17" x14ac:dyDescent="0.2">
      <c r="A267" s="1">
        <v>43070</v>
      </c>
      <c r="B267">
        <v>1920</v>
      </c>
      <c r="C267" t="s">
        <v>79</v>
      </c>
      <c r="D267" t="s">
        <v>15</v>
      </c>
      <c r="E267" t="s">
        <v>70</v>
      </c>
      <c r="F267" s="5">
        <v>20</v>
      </c>
      <c r="G267" t="str">
        <f>IF(Data[[#This Row],[Age]]&lt;25,"Under 25",IF(Data[[#This Row],[Age]]&lt;35,"25–34",IF(Data[[#This Row],[Age]]&lt;45,"35–44",IF(Data[[#This Row],[Age]]&lt;55,"45–54","55+"))))</f>
        <v>Under 25</v>
      </c>
      <c r="H267" t="s">
        <v>49</v>
      </c>
      <c r="I267" t="s">
        <v>18</v>
      </c>
      <c r="J267" t="s">
        <v>37</v>
      </c>
      <c r="K267" s="1">
        <v>41570</v>
      </c>
      <c r="M267" s="1" t="str">
        <f>IF(ISBLANK(Data[[#This Row],[EndDate]]),"Active","InActive")</f>
        <v>Active</v>
      </c>
      <c r="N267" t="s">
        <v>20</v>
      </c>
      <c r="O267" t="s">
        <v>21</v>
      </c>
      <c r="P267" t="s">
        <v>32</v>
      </c>
      <c r="Q267" s="2">
        <v>2400</v>
      </c>
    </row>
    <row r="268" spans="1:17" x14ac:dyDescent="0.2">
      <c r="A268" s="1">
        <v>43070</v>
      </c>
      <c r="B268">
        <v>16444</v>
      </c>
      <c r="C268" t="s">
        <v>80</v>
      </c>
      <c r="D268" t="s">
        <v>52</v>
      </c>
      <c r="E268" t="s">
        <v>67</v>
      </c>
      <c r="F268" s="5">
        <v>20</v>
      </c>
      <c r="G268" t="str">
        <f>IF(Data[[#This Row],[Age]]&lt;25,"Under 25",IF(Data[[#This Row],[Age]]&lt;35,"25–34",IF(Data[[#This Row],[Age]]&lt;45,"35–44",IF(Data[[#This Row],[Age]]&lt;55,"45–54","55+"))))</f>
        <v>Under 25</v>
      </c>
      <c r="H268" t="s">
        <v>17</v>
      </c>
      <c r="I268" t="s">
        <v>18</v>
      </c>
      <c r="J268" t="s">
        <v>37</v>
      </c>
      <c r="K268" s="1">
        <v>41578</v>
      </c>
      <c r="M268" s="1" t="str">
        <f>IF(ISBLANK(Data[[#This Row],[EndDate]]),"Active","InActive")</f>
        <v>Active</v>
      </c>
      <c r="N268" t="s">
        <v>20</v>
      </c>
      <c r="O268" t="s">
        <v>21</v>
      </c>
      <c r="P268" t="s">
        <v>32</v>
      </c>
      <c r="Q268" s="2">
        <v>2700</v>
      </c>
    </row>
    <row r="269" spans="1:17" x14ac:dyDescent="0.2">
      <c r="A269" s="1">
        <v>43070</v>
      </c>
      <c r="B269">
        <v>25168</v>
      </c>
      <c r="C269" t="s">
        <v>79</v>
      </c>
      <c r="D269" t="s">
        <v>27</v>
      </c>
      <c r="E269" t="s">
        <v>28</v>
      </c>
      <c r="F269" s="5">
        <v>20</v>
      </c>
      <c r="G269" t="str">
        <f>IF(Data[[#This Row],[Age]]&lt;25,"Under 25",IF(Data[[#This Row],[Age]]&lt;35,"25–34",IF(Data[[#This Row],[Age]]&lt;45,"35–44",IF(Data[[#This Row],[Age]]&lt;55,"45–54","55+"))))</f>
        <v>Under 25</v>
      </c>
      <c r="H269" t="s">
        <v>31</v>
      </c>
      <c r="I269" t="s">
        <v>18</v>
      </c>
      <c r="J269" t="s">
        <v>37</v>
      </c>
      <c r="K269" s="1">
        <v>41207</v>
      </c>
      <c r="M269" s="1" t="str">
        <f>IF(ISBLANK(Data[[#This Row],[EndDate]]),"Active","InActive")</f>
        <v>Active</v>
      </c>
      <c r="N269" t="s">
        <v>20</v>
      </c>
      <c r="O269" t="s">
        <v>21</v>
      </c>
      <c r="P269" t="s">
        <v>32</v>
      </c>
      <c r="Q269" s="2">
        <v>4350</v>
      </c>
    </row>
    <row r="270" spans="1:17" x14ac:dyDescent="0.2">
      <c r="A270" s="1">
        <v>43435</v>
      </c>
      <c r="B270">
        <v>1568</v>
      </c>
      <c r="C270" t="s">
        <v>80</v>
      </c>
      <c r="D270" t="s">
        <v>50</v>
      </c>
      <c r="E270" t="s">
        <v>55</v>
      </c>
      <c r="F270" s="5">
        <v>20</v>
      </c>
      <c r="G270" t="str">
        <f>IF(Data[[#This Row],[Age]]&lt;25,"Under 25",IF(Data[[#This Row],[Age]]&lt;35,"25–34",IF(Data[[#This Row],[Age]]&lt;45,"35–44",IF(Data[[#This Row],[Age]]&lt;55,"45–54","55+"))))</f>
        <v>Under 25</v>
      </c>
      <c r="H270" t="s">
        <v>25</v>
      </c>
      <c r="I270" t="s">
        <v>18</v>
      </c>
      <c r="J270" t="s">
        <v>37</v>
      </c>
      <c r="K270" s="1">
        <v>41872</v>
      </c>
      <c r="M270" s="1" t="str">
        <f>IF(ISBLANK(Data[[#This Row],[EndDate]]),"Active","InActive")</f>
        <v>Active</v>
      </c>
      <c r="N270" t="s">
        <v>20</v>
      </c>
      <c r="O270" t="s">
        <v>21</v>
      </c>
      <c r="P270" t="s">
        <v>40</v>
      </c>
      <c r="Q270" s="2">
        <v>4700</v>
      </c>
    </row>
    <row r="271" spans="1:17" x14ac:dyDescent="0.2">
      <c r="A271" s="1">
        <v>42705</v>
      </c>
      <c r="B271">
        <v>99596</v>
      </c>
      <c r="C271" t="s">
        <v>80</v>
      </c>
      <c r="D271" t="s">
        <v>27</v>
      </c>
      <c r="E271" t="s">
        <v>72</v>
      </c>
      <c r="F271" s="5">
        <v>20</v>
      </c>
      <c r="G271" t="str">
        <f>IF(Data[[#This Row],[Age]]&lt;25,"Under 25",IF(Data[[#This Row],[Age]]&lt;35,"25–34",IF(Data[[#This Row],[Age]]&lt;45,"35–44",IF(Data[[#This Row],[Age]]&lt;55,"45–54","55+"))))</f>
        <v>Under 25</v>
      </c>
      <c r="H271" t="s">
        <v>25</v>
      </c>
      <c r="I271" t="s">
        <v>18</v>
      </c>
      <c r="J271" t="s">
        <v>19</v>
      </c>
      <c r="K271" s="1">
        <v>41220</v>
      </c>
      <c r="M271" s="1" t="str">
        <f>IF(ISBLANK(Data[[#This Row],[EndDate]]),"Active","InActive")</f>
        <v>Active</v>
      </c>
      <c r="N271" t="s">
        <v>20</v>
      </c>
      <c r="O271" t="s">
        <v>21</v>
      </c>
      <c r="P271" t="s">
        <v>22</v>
      </c>
      <c r="Q271" s="2">
        <v>6080</v>
      </c>
    </row>
    <row r="272" spans="1:17" x14ac:dyDescent="0.2">
      <c r="A272" s="1">
        <v>42705</v>
      </c>
      <c r="B272">
        <v>99682</v>
      </c>
      <c r="C272" t="s">
        <v>80</v>
      </c>
      <c r="D272" t="s">
        <v>27</v>
      </c>
      <c r="E272" t="s">
        <v>72</v>
      </c>
      <c r="F272" s="5">
        <v>20</v>
      </c>
      <c r="G272" t="str">
        <f>IF(Data[[#This Row],[Age]]&lt;25,"Under 25",IF(Data[[#This Row],[Age]]&lt;35,"25–34",IF(Data[[#This Row],[Age]]&lt;45,"35–44",IF(Data[[#This Row],[Age]]&lt;55,"45–54","55+"))))</f>
        <v>Under 25</v>
      </c>
      <c r="H272" t="s">
        <v>59</v>
      </c>
      <c r="I272" t="s">
        <v>18</v>
      </c>
      <c r="J272" t="s">
        <v>35</v>
      </c>
      <c r="K272" s="1">
        <v>41200</v>
      </c>
      <c r="M272" s="1" t="str">
        <f>IF(ISBLANK(Data[[#This Row],[EndDate]]),"Active","InActive")</f>
        <v>Active</v>
      </c>
      <c r="N272" t="s">
        <v>20</v>
      </c>
      <c r="O272" t="s">
        <v>21</v>
      </c>
      <c r="P272" t="s">
        <v>22</v>
      </c>
      <c r="Q272" s="2">
        <v>3280</v>
      </c>
    </row>
    <row r="273" spans="1:17" x14ac:dyDescent="0.2">
      <c r="A273" s="1">
        <v>42705</v>
      </c>
      <c r="B273">
        <v>50332</v>
      </c>
      <c r="C273" t="s">
        <v>80</v>
      </c>
      <c r="D273" t="s">
        <v>38</v>
      </c>
      <c r="E273" t="s">
        <v>45</v>
      </c>
      <c r="F273" s="5">
        <v>21</v>
      </c>
      <c r="G273" t="str">
        <f>IF(Data[[#This Row],[Age]]&lt;25,"Under 25",IF(Data[[#This Row],[Age]]&lt;35,"25–34",IF(Data[[#This Row],[Age]]&lt;45,"35–44",IF(Data[[#This Row],[Age]]&lt;55,"45–54","55+"))))</f>
        <v>Under 25</v>
      </c>
      <c r="H273" t="s">
        <v>46</v>
      </c>
      <c r="I273" t="s">
        <v>56</v>
      </c>
      <c r="J273" t="s">
        <v>37</v>
      </c>
      <c r="K273" s="1">
        <v>41261</v>
      </c>
      <c r="M273" s="1" t="str">
        <f>IF(ISBLANK(Data[[#This Row],[EndDate]]),"Active","InActive")</f>
        <v>Active</v>
      </c>
      <c r="N273" t="s">
        <v>57</v>
      </c>
      <c r="O273" t="s">
        <v>21</v>
      </c>
      <c r="P273" t="s">
        <v>22</v>
      </c>
      <c r="Q273" s="2">
        <v>8410.5</v>
      </c>
    </row>
    <row r="274" spans="1:17" x14ac:dyDescent="0.2">
      <c r="A274" s="1">
        <v>43435</v>
      </c>
      <c r="B274">
        <v>55590</v>
      </c>
      <c r="C274" t="s">
        <v>80</v>
      </c>
      <c r="D274" t="s">
        <v>47</v>
      </c>
      <c r="E274" t="s">
        <v>48</v>
      </c>
      <c r="F274" s="5">
        <v>21</v>
      </c>
      <c r="G274" t="str">
        <f>IF(Data[[#This Row],[Age]]&lt;25,"Under 25",IF(Data[[#This Row],[Age]]&lt;35,"25–34",IF(Data[[#This Row],[Age]]&lt;45,"35–44",IF(Data[[#This Row],[Age]]&lt;55,"45–54","55+"))))</f>
        <v>Under 25</v>
      </c>
      <c r="H274" t="s">
        <v>25</v>
      </c>
      <c r="I274" t="s">
        <v>56</v>
      </c>
      <c r="J274" t="s">
        <v>37</v>
      </c>
      <c r="K274" s="1">
        <v>41978</v>
      </c>
      <c r="M274" s="1" t="str">
        <f>IF(ISBLANK(Data[[#This Row],[EndDate]]),"Active","InActive")</f>
        <v>Active</v>
      </c>
      <c r="N274" t="s">
        <v>57</v>
      </c>
      <c r="O274" t="s">
        <v>21</v>
      </c>
      <c r="P274" t="s">
        <v>40</v>
      </c>
      <c r="Q274" s="2">
        <v>3339</v>
      </c>
    </row>
    <row r="275" spans="1:17" x14ac:dyDescent="0.2">
      <c r="A275" s="1">
        <v>42705</v>
      </c>
      <c r="B275">
        <v>107616</v>
      </c>
      <c r="C275" t="s">
        <v>79</v>
      </c>
      <c r="D275" t="s">
        <v>29</v>
      </c>
      <c r="E275" t="s">
        <v>33</v>
      </c>
      <c r="F275" s="5">
        <v>21</v>
      </c>
      <c r="G275" t="str">
        <f>IF(Data[[#This Row],[Age]]&lt;25,"Under 25",IF(Data[[#This Row],[Age]]&lt;35,"25–34",IF(Data[[#This Row],[Age]]&lt;45,"35–44",IF(Data[[#This Row],[Age]]&lt;55,"45–54","55+"))))</f>
        <v>Under 25</v>
      </c>
      <c r="H275" t="s">
        <v>31</v>
      </c>
      <c r="I275" t="s">
        <v>56</v>
      </c>
      <c r="J275" t="s">
        <v>19</v>
      </c>
      <c r="K275" s="1">
        <v>41263</v>
      </c>
      <c r="M275" s="1" t="str">
        <f>IF(ISBLANK(Data[[#This Row],[EndDate]]),"Active","InActive")</f>
        <v>Active</v>
      </c>
      <c r="N275" t="s">
        <v>57</v>
      </c>
      <c r="O275" t="s">
        <v>21</v>
      </c>
      <c r="P275" t="s">
        <v>22</v>
      </c>
      <c r="Q275" s="2">
        <v>1480.5</v>
      </c>
    </row>
    <row r="276" spans="1:17" x14ac:dyDescent="0.2">
      <c r="A276" s="1">
        <v>42705</v>
      </c>
      <c r="B276">
        <v>52834</v>
      </c>
      <c r="C276" t="s">
        <v>80</v>
      </c>
      <c r="D276" t="s">
        <v>15</v>
      </c>
      <c r="E276" t="s">
        <v>58</v>
      </c>
      <c r="F276" s="5">
        <v>21</v>
      </c>
      <c r="G276" t="str">
        <f>IF(Data[[#This Row],[Age]]&lt;25,"Under 25",IF(Data[[#This Row],[Age]]&lt;35,"25–34",IF(Data[[#This Row],[Age]]&lt;45,"35–44",IF(Data[[#This Row],[Age]]&lt;55,"45–54","55+"))))</f>
        <v>Under 25</v>
      </c>
      <c r="H276" t="s">
        <v>17</v>
      </c>
      <c r="I276" t="s">
        <v>56</v>
      </c>
      <c r="J276" t="s">
        <v>37</v>
      </c>
      <c r="K276" s="1">
        <v>40933</v>
      </c>
      <c r="M276" s="1" t="str">
        <f>IF(ISBLANK(Data[[#This Row],[EndDate]]),"Active","InActive")</f>
        <v>Active</v>
      </c>
      <c r="N276" t="s">
        <v>57</v>
      </c>
      <c r="O276" t="s">
        <v>21</v>
      </c>
      <c r="P276" t="s">
        <v>22</v>
      </c>
      <c r="Q276" s="2">
        <v>7959</v>
      </c>
    </row>
    <row r="277" spans="1:17" x14ac:dyDescent="0.2">
      <c r="A277" s="1">
        <v>42705</v>
      </c>
      <c r="B277">
        <v>43342</v>
      </c>
      <c r="C277" t="s">
        <v>79</v>
      </c>
      <c r="D277" t="s">
        <v>47</v>
      </c>
      <c r="E277" t="s">
        <v>73</v>
      </c>
      <c r="F277" s="5">
        <v>21</v>
      </c>
      <c r="G277" t="str">
        <f>IF(Data[[#This Row],[Age]]&lt;25,"Under 25",IF(Data[[#This Row],[Age]]&lt;35,"25–34",IF(Data[[#This Row],[Age]]&lt;45,"35–44",IF(Data[[#This Row],[Age]]&lt;55,"45–54","55+"))))</f>
        <v>Under 25</v>
      </c>
      <c r="H277" t="s">
        <v>25</v>
      </c>
      <c r="I277" t="s">
        <v>56</v>
      </c>
      <c r="J277" t="s">
        <v>35</v>
      </c>
      <c r="K277" s="1">
        <v>40999</v>
      </c>
      <c r="M277" s="1" t="str">
        <f>IF(ISBLANK(Data[[#This Row],[EndDate]]),"Active","InActive")</f>
        <v>Active</v>
      </c>
      <c r="N277" t="s">
        <v>57</v>
      </c>
      <c r="O277" t="s">
        <v>21</v>
      </c>
      <c r="P277" t="s">
        <v>22</v>
      </c>
      <c r="Q277" s="2">
        <v>6006</v>
      </c>
    </row>
    <row r="278" spans="1:17" x14ac:dyDescent="0.2">
      <c r="A278" s="1">
        <v>42705</v>
      </c>
      <c r="B278">
        <v>43356</v>
      </c>
      <c r="C278" t="s">
        <v>79</v>
      </c>
      <c r="D278" t="s">
        <v>29</v>
      </c>
      <c r="E278" t="s">
        <v>30</v>
      </c>
      <c r="F278" s="5">
        <v>21</v>
      </c>
      <c r="G278" t="str">
        <f>IF(Data[[#This Row],[Age]]&lt;25,"Under 25",IF(Data[[#This Row],[Age]]&lt;35,"25–34",IF(Data[[#This Row],[Age]]&lt;45,"35–44",IF(Data[[#This Row],[Age]]&lt;55,"45–54","55+"))))</f>
        <v>Under 25</v>
      </c>
      <c r="H278" t="s">
        <v>46</v>
      </c>
      <c r="I278" t="s">
        <v>56</v>
      </c>
      <c r="J278" t="s">
        <v>35</v>
      </c>
      <c r="K278" s="1">
        <v>40058</v>
      </c>
      <c r="M278" s="1" t="str">
        <f>IF(ISBLANK(Data[[#This Row],[EndDate]]),"Active","InActive")</f>
        <v>Active</v>
      </c>
      <c r="N278" t="s">
        <v>57</v>
      </c>
      <c r="O278" t="s">
        <v>21</v>
      </c>
      <c r="P278" t="s">
        <v>22</v>
      </c>
      <c r="Q278" s="2">
        <v>5785.5</v>
      </c>
    </row>
    <row r="279" spans="1:17" x14ac:dyDescent="0.2">
      <c r="A279" s="1">
        <v>42705</v>
      </c>
      <c r="B279">
        <v>43672</v>
      </c>
      <c r="C279" t="s">
        <v>79</v>
      </c>
      <c r="D279" t="s">
        <v>41</v>
      </c>
      <c r="E279" t="s">
        <v>62</v>
      </c>
      <c r="F279" s="5">
        <v>21</v>
      </c>
      <c r="G279" t="str">
        <f>IF(Data[[#This Row],[Age]]&lt;25,"Under 25",IF(Data[[#This Row],[Age]]&lt;35,"25–34",IF(Data[[#This Row],[Age]]&lt;45,"35–44",IF(Data[[#This Row],[Age]]&lt;55,"45–54","55+"))))</f>
        <v>Under 25</v>
      </c>
      <c r="H279" t="s">
        <v>31</v>
      </c>
      <c r="I279" t="s">
        <v>56</v>
      </c>
      <c r="J279" t="s">
        <v>37</v>
      </c>
      <c r="K279" s="1">
        <v>39024</v>
      </c>
      <c r="M279" s="1" t="str">
        <f>IF(ISBLANK(Data[[#This Row],[EndDate]]),"Active","InActive")</f>
        <v>Active</v>
      </c>
      <c r="N279" t="s">
        <v>57</v>
      </c>
      <c r="O279" t="s">
        <v>21</v>
      </c>
      <c r="P279" t="s">
        <v>22</v>
      </c>
      <c r="Q279" s="2">
        <v>8620.5</v>
      </c>
    </row>
    <row r="280" spans="1:17" x14ac:dyDescent="0.2">
      <c r="A280" s="1">
        <v>42705</v>
      </c>
      <c r="B280">
        <v>50386</v>
      </c>
      <c r="C280" t="s">
        <v>79</v>
      </c>
      <c r="D280" t="s">
        <v>41</v>
      </c>
      <c r="E280" t="s">
        <v>62</v>
      </c>
      <c r="F280" s="5">
        <v>21</v>
      </c>
      <c r="G280" t="str">
        <f>IF(Data[[#This Row],[Age]]&lt;25,"Under 25",IF(Data[[#This Row],[Age]]&lt;35,"25–34",IF(Data[[#This Row],[Age]]&lt;45,"35–44",IF(Data[[#This Row],[Age]]&lt;55,"45–54","55+"))))</f>
        <v>Under 25</v>
      </c>
      <c r="H280" t="s">
        <v>49</v>
      </c>
      <c r="I280" t="s">
        <v>56</v>
      </c>
      <c r="J280" t="s">
        <v>37</v>
      </c>
      <c r="K280" s="1">
        <v>40432</v>
      </c>
      <c r="M280" s="1" t="str">
        <f>IF(ISBLANK(Data[[#This Row],[EndDate]]),"Active","InActive")</f>
        <v>Active</v>
      </c>
      <c r="N280" t="s">
        <v>57</v>
      </c>
      <c r="O280" t="s">
        <v>21</v>
      </c>
      <c r="P280" t="s">
        <v>22</v>
      </c>
      <c r="Q280" s="2">
        <v>9523.5</v>
      </c>
    </row>
    <row r="281" spans="1:17" x14ac:dyDescent="0.2">
      <c r="A281" s="1">
        <v>42705</v>
      </c>
      <c r="B281">
        <v>98352</v>
      </c>
      <c r="C281" t="s">
        <v>79</v>
      </c>
      <c r="D281" t="s">
        <v>52</v>
      </c>
      <c r="E281" t="s">
        <v>69</v>
      </c>
      <c r="F281" s="5">
        <v>21</v>
      </c>
      <c r="G281" t="str">
        <f>IF(Data[[#This Row],[Age]]&lt;25,"Under 25",IF(Data[[#This Row],[Age]]&lt;35,"25–34",IF(Data[[#This Row],[Age]]&lt;45,"35–44",IF(Data[[#This Row],[Age]]&lt;55,"45–54","55+"))))</f>
        <v>Under 25</v>
      </c>
      <c r="H281" t="s">
        <v>46</v>
      </c>
      <c r="I281" t="s">
        <v>56</v>
      </c>
      <c r="J281" t="s">
        <v>19</v>
      </c>
      <c r="K281" s="1">
        <v>40764</v>
      </c>
      <c r="M281" s="1" t="str">
        <f>IF(ISBLANK(Data[[#This Row],[EndDate]]),"Active","InActive")</f>
        <v>Active</v>
      </c>
      <c r="N281" t="s">
        <v>57</v>
      </c>
      <c r="O281" t="s">
        <v>21</v>
      </c>
      <c r="P281" t="s">
        <v>22</v>
      </c>
      <c r="Q281" s="2">
        <v>8788.5</v>
      </c>
    </row>
    <row r="282" spans="1:17" x14ac:dyDescent="0.2">
      <c r="A282" s="1">
        <v>43070</v>
      </c>
      <c r="B282">
        <v>41288</v>
      </c>
      <c r="C282" t="s">
        <v>79</v>
      </c>
      <c r="D282" t="s">
        <v>41</v>
      </c>
      <c r="E282" t="s">
        <v>68</v>
      </c>
      <c r="F282" s="5">
        <v>21</v>
      </c>
      <c r="G282" t="str">
        <f>IF(Data[[#This Row],[Age]]&lt;25,"Under 25",IF(Data[[#This Row],[Age]]&lt;35,"25–34",IF(Data[[#This Row],[Age]]&lt;45,"35–44",IF(Data[[#This Row],[Age]]&lt;55,"45–54","55+"))))</f>
        <v>Under 25</v>
      </c>
      <c r="H282" t="s">
        <v>46</v>
      </c>
      <c r="I282" t="s">
        <v>56</v>
      </c>
      <c r="J282" t="s">
        <v>37</v>
      </c>
      <c r="K282" s="1">
        <v>40970</v>
      </c>
      <c r="M282" s="1" t="str">
        <f>IF(ISBLANK(Data[[#This Row],[EndDate]]),"Active","InActive")</f>
        <v>Active</v>
      </c>
      <c r="N282" t="s">
        <v>57</v>
      </c>
      <c r="O282" t="s">
        <v>21</v>
      </c>
      <c r="P282" t="s">
        <v>32</v>
      </c>
      <c r="Q282" s="2">
        <v>7140</v>
      </c>
    </row>
    <row r="283" spans="1:17" x14ac:dyDescent="0.2">
      <c r="A283" s="1">
        <v>43070</v>
      </c>
      <c r="B283">
        <v>41388</v>
      </c>
      <c r="C283" t="s">
        <v>79</v>
      </c>
      <c r="D283" t="s">
        <v>50</v>
      </c>
      <c r="E283" t="s">
        <v>51</v>
      </c>
      <c r="F283" s="5">
        <v>21</v>
      </c>
      <c r="G283" t="str">
        <f>IF(Data[[#This Row],[Age]]&lt;25,"Under 25",IF(Data[[#This Row],[Age]]&lt;35,"25–34",IF(Data[[#This Row],[Age]]&lt;45,"35–44",IF(Data[[#This Row],[Age]]&lt;55,"45–54","55+"))))</f>
        <v>Under 25</v>
      </c>
      <c r="H283" t="s">
        <v>46</v>
      </c>
      <c r="I283" t="s">
        <v>56</v>
      </c>
      <c r="J283" t="s">
        <v>35</v>
      </c>
      <c r="K283" s="1">
        <v>41451</v>
      </c>
      <c r="M283" s="1" t="str">
        <f>IF(ISBLANK(Data[[#This Row],[EndDate]]),"Active","InActive")</f>
        <v>Active</v>
      </c>
      <c r="N283" t="s">
        <v>57</v>
      </c>
      <c r="O283" t="s">
        <v>21</v>
      </c>
      <c r="P283" t="s">
        <v>32</v>
      </c>
      <c r="Q283" s="2">
        <v>1606.5</v>
      </c>
    </row>
    <row r="284" spans="1:17" x14ac:dyDescent="0.2">
      <c r="A284" s="1">
        <v>43070</v>
      </c>
      <c r="B284">
        <v>50272</v>
      </c>
      <c r="C284" t="s">
        <v>80</v>
      </c>
      <c r="D284" t="s">
        <v>41</v>
      </c>
      <c r="E284" t="s">
        <v>42</v>
      </c>
      <c r="F284" s="5">
        <v>21</v>
      </c>
      <c r="G284" t="str">
        <f>IF(Data[[#This Row],[Age]]&lt;25,"Under 25",IF(Data[[#This Row],[Age]]&lt;35,"25–34",IF(Data[[#This Row],[Age]]&lt;45,"35–44",IF(Data[[#This Row],[Age]]&lt;55,"45–54","55+"))))</f>
        <v>Under 25</v>
      </c>
      <c r="H284" t="s">
        <v>25</v>
      </c>
      <c r="I284" t="s">
        <v>56</v>
      </c>
      <c r="J284" t="s">
        <v>37</v>
      </c>
      <c r="K284" s="1">
        <v>40988</v>
      </c>
      <c r="M284" s="1" t="str">
        <f>IF(ISBLANK(Data[[#This Row],[EndDate]]),"Active","InActive")</f>
        <v>Active</v>
      </c>
      <c r="N284" t="s">
        <v>57</v>
      </c>
      <c r="O284" t="s">
        <v>21</v>
      </c>
      <c r="P284" t="s">
        <v>32</v>
      </c>
      <c r="Q284" s="2">
        <v>1732.5</v>
      </c>
    </row>
    <row r="285" spans="1:17" x14ac:dyDescent="0.2">
      <c r="A285" s="1">
        <v>43070</v>
      </c>
      <c r="B285">
        <v>50396</v>
      </c>
      <c r="C285" t="s">
        <v>79</v>
      </c>
      <c r="D285" t="s">
        <v>15</v>
      </c>
      <c r="E285" t="s">
        <v>16</v>
      </c>
      <c r="F285" s="5">
        <v>21</v>
      </c>
      <c r="G285" t="str">
        <f>IF(Data[[#This Row],[Age]]&lt;25,"Under 25",IF(Data[[#This Row],[Age]]&lt;35,"25–34",IF(Data[[#This Row],[Age]]&lt;45,"35–44",IF(Data[[#This Row],[Age]]&lt;55,"45–54","55+"))))</f>
        <v>Under 25</v>
      </c>
      <c r="H285" t="s">
        <v>49</v>
      </c>
      <c r="I285" t="s">
        <v>56</v>
      </c>
      <c r="J285" t="s">
        <v>37</v>
      </c>
      <c r="K285" s="1">
        <v>41193</v>
      </c>
      <c r="M285" s="1" t="str">
        <f>IF(ISBLANK(Data[[#This Row],[EndDate]]),"Active","InActive")</f>
        <v>Active</v>
      </c>
      <c r="N285" t="s">
        <v>57</v>
      </c>
      <c r="O285" t="s">
        <v>21</v>
      </c>
      <c r="P285" t="s">
        <v>32</v>
      </c>
      <c r="Q285" s="2">
        <v>8473.5</v>
      </c>
    </row>
    <row r="286" spans="1:17" x14ac:dyDescent="0.2">
      <c r="A286" s="1">
        <v>43070</v>
      </c>
      <c r="B286">
        <v>54356</v>
      </c>
      <c r="C286" t="s">
        <v>80</v>
      </c>
      <c r="D286" t="s">
        <v>50</v>
      </c>
      <c r="E286" t="s">
        <v>63</v>
      </c>
      <c r="F286" s="5">
        <v>21</v>
      </c>
      <c r="G286" t="str">
        <f>IF(Data[[#This Row],[Age]]&lt;25,"Under 25",IF(Data[[#This Row],[Age]]&lt;35,"25–34",IF(Data[[#This Row],[Age]]&lt;45,"35–44",IF(Data[[#This Row],[Age]]&lt;55,"45–54","55+"))))</f>
        <v>Under 25</v>
      </c>
      <c r="H286" t="s">
        <v>34</v>
      </c>
      <c r="I286" t="s">
        <v>56</v>
      </c>
      <c r="J286" t="s">
        <v>35</v>
      </c>
      <c r="K286" s="1">
        <v>41026</v>
      </c>
      <c r="L286" s="1">
        <v>41126</v>
      </c>
      <c r="M286" s="1" t="str">
        <f>IF(ISBLANK(Data[[#This Row],[EndDate]]),"Active","InActive")</f>
        <v>InActive</v>
      </c>
      <c r="N286" t="s">
        <v>57</v>
      </c>
      <c r="O286" t="s">
        <v>21</v>
      </c>
      <c r="P286" t="s">
        <v>32</v>
      </c>
      <c r="Q286" s="2">
        <v>5008.5</v>
      </c>
    </row>
    <row r="287" spans="1:17" x14ac:dyDescent="0.2">
      <c r="A287" s="1">
        <v>43435</v>
      </c>
      <c r="B287">
        <v>44066</v>
      </c>
      <c r="C287" t="s">
        <v>80</v>
      </c>
      <c r="D287" t="s">
        <v>47</v>
      </c>
      <c r="E287" t="s">
        <v>48</v>
      </c>
      <c r="F287" s="5">
        <v>21</v>
      </c>
      <c r="G287" t="str">
        <f>IF(Data[[#This Row],[Age]]&lt;25,"Under 25",IF(Data[[#This Row],[Age]]&lt;35,"25–34",IF(Data[[#This Row],[Age]]&lt;45,"35–44",IF(Data[[#This Row],[Age]]&lt;55,"45–54","55+"))))</f>
        <v>Under 25</v>
      </c>
      <c r="H287" t="s">
        <v>59</v>
      </c>
      <c r="I287" t="s">
        <v>56</v>
      </c>
      <c r="J287" t="s">
        <v>37</v>
      </c>
      <c r="K287" s="1">
        <v>41359</v>
      </c>
      <c r="M287" s="1" t="str">
        <f>IF(ISBLANK(Data[[#This Row],[EndDate]]),"Active","InActive")</f>
        <v>Active</v>
      </c>
      <c r="N287" t="s">
        <v>57</v>
      </c>
      <c r="O287" t="s">
        <v>21</v>
      </c>
      <c r="P287" t="s">
        <v>40</v>
      </c>
      <c r="Q287" s="2">
        <v>6814.5</v>
      </c>
    </row>
    <row r="288" spans="1:17" x14ac:dyDescent="0.2">
      <c r="A288" s="1">
        <v>43435</v>
      </c>
      <c r="B288">
        <v>53396</v>
      </c>
      <c r="C288" t="s">
        <v>79</v>
      </c>
      <c r="D288" t="s">
        <v>43</v>
      </c>
      <c r="E288" t="s">
        <v>66</v>
      </c>
      <c r="F288" s="5">
        <v>21</v>
      </c>
      <c r="G288" t="str">
        <f>IF(Data[[#This Row],[Age]]&lt;25,"Under 25",IF(Data[[#This Row],[Age]]&lt;35,"25–34",IF(Data[[#This Row],[Age]]&lt;45,"35–44",IF(Data[[#This Row],[Age]]&lt;55,"45–54","55+"))))</f>
        <v>Under 25</v>
      </c>
      <c r="H288" t="s">
        <v>34</v>
      </c>
      <c r="I288" t="s">
        <v>56</v>
      </c>
      <c r="J288" t="s">
        <v>35</v>
      </c>
      <c r="K288" s="1">
        <v>41677</v>
      </c>
      <c r="M288" s="1" t="str">
        <f>IF(ISBLANK(Data[[#This Row],[EndDate]]),"Active","InActive")</f>
        <v>Active</v>
      </c>
      <c r="N288" t="s">
        <v>57</v>
      </c>
      <c r="O288" t="s">
        <v>21</v>
      </c>
      <c r="P288" t="s">
        <v>40</v>
      </c>
      <c r="Q288" s="2">
        <v>1606.5</v>
      </c>
    </row>
    <row r="289" spans="1:17" x14ac:dyDescent="0.2">
      <c r="A289" s="1">
        <v>43435</v>
      </c>
      <c r="B289">
        <v>54518</v>
      </c>
      <c r="C289" t="s">
        <v>80</v>
      </c>
      <c r="D289" t="s">
        <v>38</v>
      </c>
      <c r="E289" t="s">
        <v>45</v>
      </c>
      <c r="F289" s="5">
        <v>21</v>
      </c>
      <c r="G289" t="str">
        <f>IF(Data[[#This Row],[Age]]&lt;25,"Under 25",IF(Data[[#This Row],[Age]]&lt;35,"25–34",IF(Data[[#This Row],[Age]]&lt;45,"35–44",IF(Data[[#This Row],[Age]]&lt;55,"45–54","55+"))))</f>
        <v>Under 25</v>
      </c>
      <c r="H289" t="s">
        <v>31</v>
      </c>
      <c r="I289" t="s">
        <v>56</v>
      </c>
      <c r="J289" t="s">
        <v>37</v>
      </c>
      <c r="K289" s="1">
        <v>41586</v>
      </c>
      <c r="M289" s="1" t="str">
        <f>IF(ISBLANK(Data[[#This Row],[EndDate]]),"Active","InActive")</f>
        <v>Active</v>
      </c>
      <c r="N289" t="s">
        <v>57</v>
      </c>
      <c r="O289" t="s">
        <v>21</v>
      </c>
      <c r="P289" t="s">
        <v>40</v>
      </c>
      <c r="Q289" s="2">
        <v>9093</v>
      </c>
    </row>
    <row r="290" spans="1:17" x14ac:dyDescent="0.2">
      <c r="A290" s="1">
        <v>42705</v>
      </c>
      <c r="B290">
        <v>102754</v>
      </c>
      <c r="C290" t="s">
        <v>79</v>
      </c>
      <c r="D290" t="s">
        <v>41</v>
      </c>
      <c r="E290" t="s">
        <v>68</v>
      </c>
      <c r="F290" s="5">
        <v>21</v>
      </c>
      <c r="G290" t="str">
        <f>IF(Data[[#This Row],[Age]]&lt;25,"Under 25",IF(Data[[#This Row],[Age]]&lt;35,"25–34",IF(Data[[#This Row],[Age]]&lt;45,"35–44",IF(Data[[#This Row],[Age]]&lt;55,"45–54","55+"))))</f>
        <v>Under 25</v>
      </c>
      <c r="H290" t="s">
        <v>31</v>
      </c>
      <c r="I290" t="s">
        <v>18</v>
      </c>
      <c r="J290" t="s">
        <v>19</v>
      </c>
      <c r="K290" s="1">
        <v>40827</v>
      </c>
      <c r="M290" s="1" t="str">
        <f>IF(ISBLANK(Data[[#This Row],[EndDate]]),"Active","InActive")</f>
        <v>Active</v>
      </c>
      <c r="N290" t="s">
        <v>20</v>
      </c>
      <c r="O290" t="s">
        <v>21</v>
      </c>
      <c r="P290" t="s">
        <v>22</v>
      </c>
      <c r="Q290" s="2">
        <v>3129</v>
      </c>
    </row>
    <row r="291" spans="1:17" x14ac:dyDescent="0.2">
      <c r="A291" s="1">
        <v>43435</v>
      </c>
      <c r="B291">
        <v>96072</v>
      </c>
      <c r="C291" t="s">
        <v>79</v>
      </c>
      <c r="D291" t="s">
        <v>43</v>
      </c>
      <c r="E291" t="s">
        <v>60</v>
      </c>
      <c r="F291" s="5">
        <v>21</v>
      </c>
      <c r="G291" t="str">
        <f>IF(Data[[#This Row],[Age]]&lt;25,"Under 25",IF(Data[[#This Row],[Age]]&lt;35,"25–34",IF(Data[[#This Row],[Age]]&lt;45,"35–44",IF(Data[[#This Row],[Age]]&lt;55,"45–54","55+"))))</f>
        <v>Under 25</v>
      </c>
      <c r="H291" t="s">
        <v>34</v>
      </c>
      <c r="I291" t="s">
        <v>18</v>
      </c>
      <c r="J291" t="s">
        <v>19</v>
      </c>
      <c r="K291" s="1">
        <v>41772</v>
      </c>
      <c r="M291" s="1" t="str">
        <f>IF(ISBLANK(Data[[#This Row],[EndDate]]),"Active","InActive")</f>
        <v>Active</v>
      </c>
      <c r="N291" t="s">
        <v>20</v>
      </c>
      <c r="O291" t="s">
        <v>21</v>
      </c>
      <c r="P291" t="s">
        <v>40</v>
      </c>
      <c r="Q291" s="2">
        <v>9912</v>
      </c>
    </row>
    <row r="292" spans="1:17" x14ac:dyDescent="0.2">
      <c r="A292" s="1">
        <v>43435</v>
      </c>
      <c r="B292">
        <v>96484</v>
      </c>
      <c r="C292" t="s">
        <v>79</v>
      </c>
      <c r="D292" t="s">
        <v>52</v>
      </c>
      <c r="E292" t="s">
        <v>67</v>
      </c>
      <c r="F292" s="5">
        <v>21</v>
      </c>
      <c r="G292" t="str">
        <f>IF(Data[[#This Row],[Age]]&lt;25,"Under 25",IF(Data[[#This Row],[Age]]&lt;35,"25–34",IF(Data[[#This Row],[Age]]&lt;45,"35–44",IF(Data[[#This Row],[Age]]&lt;55,"45–54","55+"))))</f>
        <v>Under 25</v>
      </c>
      <c r="H292" t="s">
        <v>34</v>
      </c>
      <c r="I292" t="s">
        <v>18</v>
      </c>
      <c r="J292" t="s">
        <v>19</v>
      </c>
      <c r="K292" s="1">
        <v>41828</v>
      </c>
      <c r="M292" s="1" t="str">
        <f>IF(ISBLANK(Data[[#This Row],[EndDate]]),"Active","InActive")</f>
        <v>Active</v>
      </c>
      <c r="N292" t="s">
        <v>20</v>
      </c>
      <c r="O292" t="s">
        <v>21</v>
      </c>
      <c r="P292" t="s">
        <v>40</v>
      </c>
      <c r="Q292" s="2">
        <v>7980</v>
      </c>
    </row>
    <row r="293" spans="1:17" x14ac:dyDescent="0.2">
      <c r="A293" s="1">
        <v>42705</v>
      </c>
      <c r="B293">
        <v>23394</v>
      </c>
      <c r="C293" t="s">
        <v>80</v>
      </c>
      <c r="D293" t="s">
        <v>15</v>
      </c>
      <c r="E293" t="s">
        <v>70</v>
      </c>
      <c r="F293" s="5">
        <v>21</v>
      </c>
      <c r="G293" t="str">
        <f>IF(Data[[#This Row],[Age]]&lt;25,"Under 25",IF(Data[[#This Row],[Age]]&lt;35,"25–34",IF(Data[[#This Row],[Age]]&lt;45,"35–44",IF(Data[[#This Row],[Age]]&lt;55,"45–54","55+"))))</f>
        <v>Under 25</v>
      </c>
      <c r="H293" t="s">
        <v>46</v>
      </c>
      <c r="I293" t="s">
        <v>18</v>
      </c>
      <c r="J293" t="s">
        <v>35</v>
      </c>
      <c r="K293" s="1">
        <v>41174</v>
      </c>
      <c r="M293" s="1" t="str">
        <f>IF(ISBLANK(Data[[#This Row],[EndDate]]),"Active","InActive")</f>
        <v>Active</v>
      </c>
      <c r="N293" t="s">
        <v>20</v>
      </c>
      <c r="O293" t="s">
        <v>21</v>
      </c>
      <c r="P293" t="s">
        <v>22</v>
      </c>
      <c r="Q293" s="2">
        <v>8379</v>
      </c>
    </row>
    <row r="294" spans="1:17" x14ac:dyDescent="0.2">
      <c r="A294" s="1">
        <v>42705</v>
      </c>
      <c r="B294">
        <v>28738</v>
      </c>
      <c r="C294" t="s">
        <v>79</v>
      </c>
      <c r="D294" t="s">
        <v>15</v>
      </c>
      <c r="E294" t="s">
        <v>16</v>
      </c>
      <c r="F294" s="5">
        <v>21</v>
      </c>
      <c r="G294" t="str">
        <f>IF(Data[[#This Row],[Age]]&lt;25,"Under 25",IF(Data[[#This Row],[Age]]&lt;35,"25–34",IF(Data[[#This Row],[Age]]&lt;45,"35–44",IF(Data[[#This Row],[Age]]&lt;55,"45–54","55+"))))</f>
        <v>Under 25</v>
      </c>
      <c r="H294" t="s">
        <v>17</v>
      </c>
      <c r="I294" t="s">
        <v>18</v>
      </c>
      <c r="J294" t="s">
        <v>35</v>
      </c>
      <c r="K294" s="1">
        <v>41168</v>
      </c>
      <c r="L294" s="1">
        <v>41203</v>
      </c>
      <c r="M294" s="1" t="str">
        <f>IF(ISBLANK(Data[[#This Row],[EndDate]]),"Active","InActive")</f>
        <v>InActive</v>
      </c>
      <c r="N294" t="s">
        <v>20</v>
      </c>
      <c r="O294" t="s">
        <v>21</v>
      </c>
      <c r="P294" t="s">
        <v>22</v>
      </c>
      <c r="Q294" s="2">
        <v>4462.5</v>
      </c>
    </row>
    <row r="295" spans="1:17" x14ac:dyDescent="0.2">
      <c r="A295" s="1">
        <v>42705</v>
      </c>
      <c r="B295">
        <v>119150</v>
      </c>
      <c r="C295" t="s">
        <v>80</v>
      </c>
      <c r="D295" t="s">
        <v>15</v>
      </c>
      <c r="E295" t="s">
        <v>70</v>
      </c>
      <c r="F295" s="5">
        <v>21</v>
      </c>
      <c r="G295" t="str">
        <f>IF(Data[[#This Row],[Age]]&lt;25,"Under 25",IF(Data[[#This Row],[Age]]&lt;35,"25–34",IF(Data[[#This Row],[Age]]&lt;45,"35–44",IF(Data[[#This Row],[Age]]&lt;55,"45–54","55+"))))</f>
        <v>Under 25</v>
      </c>
      <c r="H295" t="s">
        <v>31</v>
      </c>
      <c r="I295" t="s">
        <v>18</v>
      </c>
      <c r="J295" t="s">
        <v>35</v>
      </c>
      <c r="K295" s="1">
        <v>41243</v>
      </c>
      <c r="M295" s="1" t="str">
        <f>IF(ISBLANK(Data[[#This Row],[EndDate]]),"Active","InActive")</f>
        <v>Active</v>
      </c>
      <c r="N295" t="s">
        <v>20</v>
      </c>
      <c r="O295" t="s">
        <v>21</v>
      </c>
      <c r="P295" t="s">
        <v>22</v>
      </c>
      <c r="Q295" s="2">
        <v>2394</v>
      </c>
    </row>
    <row r="296" spans="1:17" x14ac:dyDescent="0.2">
      <c r="A296" s="1">
        <v>43070</v>
      </c>
      <c r="B296">
        <v>25050</v>
      </c>
      <c r="C296" t="s">
        <v>80</v>
      </c>
      <c r="D296" t="s">
        <v>52</v>
      </c>
      <c r="E296" t="s">
        <v>67</v>
      </c>
      <c r="F296" s="5">
        <v>21</v>
      </c>
      <c r="G296" t="str">
        <f>IF(Data[[#This Row],[Age]]&lt;25,"Under 25",IF(Data[[#This Row],[Age]]&lt;35,"25–34",IF(Data[[#This Row],[Age]]&lt;45,"35–44",IF(Data[[#This Row],[Age]]&lt;55,"45–54","55+"))))</f>
        <v>Under 25</v>
      </c>
      <c r="H296" t="s">
        <v>46</v>
      </c>
      <c r="I296" t="s">
        <v>18</v>
      </c>
      <c r="J296" t="s">
        <v>35</v>
      </c>
      <c r="K296" s="1">
        <v>41570</v>
      </c>
      <c r="M296" s="1" t="str">
        <f>IF(ISBLANK(Data[[#This Row],[EndDate]]),"Active","InActive")</f>
        <v>Active</v>
      </c>
      <c r="N296" t="s">
        <v>20</v>
      </c>
      <c r="O296" t="s">
        <v>21</v>
      </c>
      <c r="P296" t="s">
        <v>32</v>
      </c>
      <c r="Q296" s="2">
        <v>10479</v>
      </c>
    </row>
    <row r="297" spans="1:17" x14ac:dyDescent="0.2">
      <c r="A297" s="1">
        <v>43070</v>
      </c>
      <c r="B297">
        <v>28276</v>
      </c>
      <c r="C297" t="s">
        <v>80</v>
      </c>
      <c r="D297" t="s">
        <v>29</v>
      </c>
      <c r="E297" t="s">
        <v>30</v>
      </c>
      <c r="F297" s="5">
        <v>21</v>
      </c>
      <c r="G297" t="str">
        <f>IF(Data[[#This Row],[Age]]&lt;25,"Under 25",IF(Data[[#This Row],[Age]]&lt;35,"25–34",IF(Data[[#This Row],[Age]]&lt;45,"35–44",IF(Data[[#This Row],[Age]]&lt;55,"45–54","55+"))))</f>
        <v>Under 25</v>
      </c>
      <c r="H297" t="s">
        <v>49</v>
      </c>
      <c r="I297" t="s">
        <v>18</v>
      </c>
      <c r="J297" t="s">
        <v>35</v>
      </c>
      <c r="K297" s="1">
        <v>41394</v>
      </c>
      <c r="M297" s="1" t="str">
        <f>IF(ISBLANK(Data[[#This Row],[EndDate]]),"Active","InActive")</f>
        <v>Active</v>
      </c>
      <c r="N297" t="s">
        <v>20</v>
      </c>
      <c r="O297" t="s">
        <v>21</v>
      </c>
      <c r="P297" t="s">
        <v>32</v>
      </c>
      <c r="Q297" s="2">
        <v>8137.5</v>
      </c>
    </row>
    <row r="298" spans="1:17" x14ac:dyDescent="0.2">
      <c r="A298" s="1">
        <v>43070</v>
      </c>
      <c r="B298">
        <v>29862</v>
      </c>
      <c r="C298" t="s">
        <v>80</v>
      </c>
      <c r="D298" t="s">
        <v>50</v>
      </c>
      <c r="E298" t="s">
        <v>55</v>
      </c>
      <c r="F298" s="5">
        <v>21</v>
      </c>
      <c r="G298" t="str">
        <f>IF(Data[[#This Row],[Age]]&lt;25,"Under 25",IF(Data[[#This Row],[Age]]&lt;35,"25–34",IF(Data[[#This Row],[Age]]&lt;45,"35–44",IF(Data[[#This Row],[Age]]&lt;55,"45–54","55+"))))</f>
        <v>Under 25</v>
      </c>
      <c r="H298" t="s">
        <v>46</v>
      </c>
      <c r="I298" t="s">
        <v>18</v>
      </c>
      <c r="J298" t="s">
        <v>35</v>
      </c>
      <c r="K298" s="1">
        <v>41584</v>
      </c>
      <c r="M298" s="1" t="str">
        <f>IF(ISBLANK(Data[[#This Row],[EndDate]]),"Active","InActive")</f>
        <v>Active</v>
      </c>
      <c r="N298" t="s">
        <v>20</v>
      </c>
      <c r="O298" t="s">
        <v>21</v>
      </c>
      <c r="P298" t="s">
        <v>32</v>
      </c>
      <c r="Q298" s="2">
        <v>7119</v>
      </c>
    </row>
    <row r="299" spans="1:17" x14ac:dyDescent="0.2">
      <c r="A299" s="1">
        <v>43070</v>
      </c>
      <c r="B299">
        <v>53616</v>
      </c>
      <c r="C299" t="s">
        <v>79</v>
      </c>
      <c r="D299" t="s">
        <v>29</v>
      </c>
      <c r="E299" t="s">
        <v>33</v>
      </c>
      <c r="F299" s="5">
        <v>21</v>
      </c>
      <c r="G299" t="str">
        <f>IF(Data[[#This Row],[Age]]&lt;25,"Under 25",IF(Data[[#This Row],[Age]]&lt;35,"25–34",IF(Data[[#This Row],[Age]]&lt;45,"35–44",IF(Data[[#This Row],[Age]]&lt;55,"45–54","55+"))))</f>
        <v>Under 25</v>
      </c>
      <c r="H299" t="s">
        <v>59</v>
      </c>
      <c r="I299" t="s">
        <v>18</v>
      </c>
      <c r="J299" t="s">
        <v>35</v>
      </c>
      <c r="K299" s="1">
        <v>41501</v>
      </c>
      <c r="M299" s="1" t="str">
        <f>IF(ISBLANK(Data[[#This Row],[EndDate]]),"Active","InActive")</f>
        <v>Active</v>
      </c>
      <c r="N299" t="s">
        <v>20</v>
      </c>
      <c r="O299" t="s">
        <v>21</v>
      </c>
      <c r="P299" t="s">
        <v>32</v>
      </c>
      <c r="Q299" s="2">
        <v>5103</v>
      </c>
    </row>
    <row r="300" spans="1:17" x14ac:dyDescent="0.2">
      <c r="A300" s="1">
        <v>43070</v>
      </c>
      <c r="B300">
        <v>55730</v>
      </c>
      <c r="C300" t="s">
        <v>80</v>
      </c>
      <c r="D300" t="s">
        <v>15</v>
      </c>
      <c r="E300" t="s">
        <v>70</v>
      </c>
      <c r="F300" s="5">
        <v>21</v>
      </c>
      <c r="G300" t="str">
        <f>IF(Data[[#This Row],[Age]]&lt;25,"Under 25",IF(Data[[#This Row],[Age]]&lt;35,"25–34",IF(Data[[#This Row],[Age]]&lt;45,"35–44",IF(Data[[#This Row],[Age]]&lt;55,"45–54","55+"))))</f>
        <v>Under 25</v>
      </c>
      <c r="H300" t="s">
        <v>49</v>
      </c>
      <c r="I300" t="s">
        <v>18</v>
      </c>
      <c r="J300" t="s">
        <v>35</v>
      </c>
      <c r="K300" s="1">
        <v>40417</v>
      </c>
      <c r="M300" s="1" t="str">
        <f>IF(ISBLANK(Data[[#This Row],[EndDate]]),"Active","InActive")</f>
        <v>Active</v>
      </c>
      <c r="N300" t="s">
        <v>20</v>
      </c>
      <c r="O300" t="s">
        <v>21</v>
      </c>
      <c r="P300" t="s">
        <v>32</v>
      </c>
      <c r="Q300" s="2">
        <v>3087</v>
      </c>
    </row>
    <row r="301" spans="1:17" x14ac:dyDescent="0.2">
      <c r="A301" s="1">
        <v>43435</v>
      </c>
      <c r="B301">
        <v>49984</v>
      </c>
      <c r="C301" t="s">
        <v>79</v>
      </c>
      <c r="D301" t="s">
        <v>41</v>
      </c>
      <c r="E301" t="s">
        <v>42</v>
      </c>
      <c r="F301" s="5">
        <v>21</v>
      </c>
      <c r="G301" t="str">
        <f>IF(Data[[#This Row],[Age]]&lt;25,"Under 25",IF(Data[[#This Row],[Age]]&lt;35,"25–34",IF(Data[[#This Row],[Age]]&lt;45,"35–44",IF(Data[[#This Row],[Age]]&lt;55,"45–54","55+"))))</f>
        <v>Under 25</v>
      </c>
      <c r="H301" t="s">
        <v>31</v>
      </c>
      <c r="I301" t="s">
        <v>18</v>
      </c>
      <c r="J301" t="s">
        <v>35</v>
      </c>
      <c r="K301" s="1">
        <v>41794</v>
      </c>
      <c r="M301" s="1" t="str">
        <f>IF(ISBLANK(Data[[#This Row],[EndDate]]),"Active","InActive")</f>
        <v>Active</v>
      </c>
      <c r="N301" t="s">
        <v>20</v>
      </c>
      <c r="O301" t="s">
        <v>21</v>
      </c>
      <c r="P301" t="s">
        <v>40</v>
      </c>
      <c r="Q301" s="2">
        <v>5439</v>
      </c>
    </row>
    <row r="302" spans="1:17" x14ac:dyDescent="0.2">
      <c r="A302" s="1">
        <v>43435</v>
      </c>
      <c r="B302">
        <v>50294</v>
      </c>
      <c r="C302" t="s">
        <v>79</v>
      </c>
      <c r="D302" t="s">
        <v>29</v>
      </c>
      <c r="E302" t="s">
        <v>30</v>
      </c>
      <c r="F302" s="5">
        <v>21</v>
      </c>
      <c r="G302" t="str">
        <f>IF(Data[[#This Row],[Age]]&lt;25,"Under 25",IF(Data[[#This Row],[Age]]&lt;35,"25–34",IF(Data[[#This Row],[Age]]&lt;45,"35–44",IF(Data[[#This Row],[Age]]&lt;55,"45–54","55+"))))</f>
        <v>Under 25</v>
      </c>
      <c r="H302" t="s">
        <v>34</v>
      </c>
      <c r="I302" t="s">
        <v>18</v>
      </c>
      <c r="J302" t="s">
        <v>35</v>
      </c>
      <c r="K302" s="1">
        <v>41597</v>
      </c>
      <c r="M302" s="1" t="str">
        <f>IF(ISBLANK(Data[[#This Row],[EndDate]]),"Active","InActive")</f>
        <v>Active</v>
      </c>
      <c r="N302" t="s">
        <v>20</v>
      </c>
      <c r="O302" t="s">
        <v>21</v>
      </c>
      <c r="P302" t="s">
        <v>40</v>
      </c>
      <c r="Q302" s="2">
        <v>9607.5</v>
      </c>
    </row>
    <row r="303" spans="1:17" x14ac:dyDescent="0.2">
      <c r="A303" s="1">
        <v>43435</v>
      </c>
      <c r="B303">
        <v>52762</v>
      </c>
      <c r="C303" t="s">
        <v>80</v>
      </c>
      <c r="D303" t="s">
        <v>43</v>
      </c>
      <c r="E303" t="s">
        <v>60</v>
      </c>
      <c r="F303" s="5">
        <v>21</v>
      </c>
      <c r="G303" t="str">
        <f>IF(Data[[#This Row],[Age]]&lt;25,"Under 25",IF(Data[[#This Row],[Age]]&lt;35,"25–34",IF(Data[[#This Row],[Age]]&lt;45,"35–44",IF(Data[[#This Row],[Age]]&lt;55,"45–54","55+"))))</f>
        <v>Under 25</v>
      </c>
      <c r="H303" t="s">
        <v>31</v>
      </c>
      <c r="I303" t="s">
        <v>18</v>
      </c>
      <c r="J303" t="s">
        <v>35</v>
      </c>
      <c r="K303" s="1">
        <v>41836</v>
      </c>
      <c r="M303" s="1" t="str">
        <f>IF(ISBLANK(Data[[#This Row],[EndDate]]),"Active","InActive")</f>
        <v>Active</v>
      </c>
      <c r="N303" t="s">
        <v>20</v>
      </c>
      <c r="O303" t="s">
        <v>21</v>
      </c>
      <c r="P303" t="s">
        <v>40</v>
      </c>
      <c r="Q303" s="2">
        <v>5806.5</v>
      </c>
    </row>
    <row r="304" spans="1:17" x14ac:dyDescent="0.2">
      <c r="A304" s="1">
        <v>43435</v>
      </c>
      <c r="B304">
        <v>55714</v>
      </c>
      <c r="C304" t="s">
        <v>80</v>
      </c>
      <c r="D304" t="s">
        <v>47</v>
      </c>
      <c r="E304" t="s">
        <v>64</v>
      </c>
      <c r="F304" s="5">
        <v>21</v>
      </c>
      <c r="G304" t="str">
        <f>IF(Data[[#This Row],[Age]]&lt;25,"Under 25",IF(Data[[#This Row],[Age]]&lt;35,"25–34",IF(Data[[#This Row],[Age]]&lt;45,"35–44",IF(Data[[#This Row],[Age]]&lt;55,"45–54","55+"))))</f>
        <v>Under 25</v>
      </c>
      <c r="H304" t="s">
        <v>31</v>
      </c>
      <c r="I304" t="s">
        <v>18</v>
      </c>
      <c r="J304" t="s">
        <v>35</v>
      </c>
      <c r="K304" s="1">
        <v>41698</v>
      </c>
      <c r="M304" s="1" t="str">
        <f>IF(ISBLANK(Data[[#This Row],[EndDate]]),"Active","InActive")</f>
        <v>Active</v>
      </c>
      <c r="N304" t="s">
        <v>20</v>
      </c>
      <c r="O304" t="s">
        <v>21</v>
      </c>
      <c r="P304" t="s">
        <v>40</v>
      </c>
      <c r="Q304" s="2">
        <v>2982</v>
      </c>
    </row>
    <row r="305" spans="1:17" x14ac:dyDescent="0.2">
      <c r="A305" s="1">
        <v>43435</v>
      </c>
      <c r="B305">
        <v>56300</v>
      </c>
      <c r="C305" t="s">
        <v>79</v>
      </c>
      <c r="D305" t="s">
        <v>23</v>
      </c>
      <c r="E305" t="s">
        <v>71</v>
      </c>
      <c r="F305" s="5">
        <v>21</v>
      </c>
      <c r="G305" t="str">
        <f>IF(Data[[#This Row],[Age]]&lt;25,"Under 25",IF(Data[[#This Row],[Age]]&lt;35,"25–34",IF(Data[[#This Row],[Age]]&lt;45,"35–44",IF(Data[[#This Row],[Age]]&lt;55,"45–54","55+"))))</f>
        <v>Under 25</v>
      </c>
      <c r="H305" t="s">
        <v>59</v>
      </c>
      <c r="I305" t="s">
        <v>18</v>
      </c>
      <c r="J305" t="s">
        <v>35</v>
      </c>
      <c r="K305" s="1">
        <v>41871</v>
      </c>
      <c r="M305" s="1" t="str">
        <f>IF(ISBLANK(Data[[#This Row],[EndDate]]),"Active","InActive")</f>
        <v>Active</v>
      </c>
      <c r="N305" t="s">
        <v>20</v>
      </c>
      <c r="O305" t="s">
        <v>21</v>
      </c>
      <c r="P305" t="s">
        <v>40</v>
      </c>
      <c r="Q305" s="2">
        <v>6121.5</v>
      </c>
    </row>
    <row r="306" spans="1:17" x14ac:dyDescent="0.2">
      <c r="A306" s="1">
        <v>42705</v>
      </c>
      <c r="B306">
        <v>17854</v>
      </c>
      <c r="C306" t="s">
        <v>80</v>
      </c>
      <c r="D306" t="s">
        <v>47</v>
      </c>
      <c r="E306" t="s">
        <v>48</v>
      </c>
      <c r="F306" s="5">
        <v>21</v>
      </c>
      <c r="G306" t="str">
        <f>IF(Data[[#This Row],[Age]]&lt;25,"Under 25",IF(Data[[#This Row],[Age]]&lt;35,"25–34",IF(Data[[#This Row],[Age]]&lt;45,"35–44",IF(Data[[#This Row],[Age]]&lt;55,"45–54","55+"))))</f>
        <v>Under 25</v>
      </c>
      <c r="H306" t="s">
        <v>34</v>
      </c>
      <c r="I306" t="s">
        <v>18</v>
      </c>
      <c r="J306" t="s">
        <v>26</v>
      </c>
      <c r="K306" s="1">
        <v>40983</v>
      </c>
      <c r="M306" s="1" t="str">
        <f>IF(ISBLANK(Data[[#This Row],[EndDate]]),"Active","InActive")</f>
        <v>Active</v>
      </c>
      <c r="N306" t="s">
        <v>20</v>
      </c>
      <c r="O306" t="s">
        <v>21</v>
      </c>
      <c r="P306" t="s">
        <v>22</v>
      </c>
      <c r="Q306" s="2">
        <v>4746</v>
      </c>
    </row>
    <row r="307" spans="1:17" x14ac:dyDescent="0.2">
      <c r="A307" s="1">
        <v>42705</v>
      </c>
      <c r="B307">
        <v>18926</v>
      </c>
      <c r="C307" t="s">
        <v>79</v>
      </c>
      <c r="D307" t="s">
        <v>41</v>
      </c>
      <c r="E307" t="s">
        <v>68</v>
      </c>
      <c r="F307" s="5">
        <v>21</v>
      </c>
      <c r="G307" t="str">
        <f>IF(Data[[#This Row],[Age]]&lt;25,"Under 25",IF(Data[[#This Row],[Age]]&lt;35,"25–34",IF(Data[[#This Row],[Age]]&lt;45,"35–44",IF(Data[[#This Row],[Age]]&lt;55,"45–54","55+"))))</f>
        <v>Under 25</v>
      </c>
      <c r="H307" t="s">
        <v>49</v>
      </c>
      <c r="I307" t="s">
        <v>18</v>
      </c>
      <c r="J307" t="s">
        <v>26</v>
      </c>
      <c r="K307" s="1">
        <v>41243</v>
      </c>
      <c r="M307" s="1" t="str">
        <f>IF(ISBLANK(Data[[#This Row],[EndDate]]),"Active","InActive")</f>
        <v>Active</v>
      </c>
      <c r="N307" t="s">
        <v>20</v>
      </c>
      <c r="O307" t="s">
        <v>21</v>
      </c>
      <c r="P307" t="s">
        <v>22</v>
      </c>
      <c r="Q307" s="2">
        <v>1386</v>
      </c>
    </row>
    <row r="308" spans="1:17" x14ac:dyDescent="0.2">
      <c r="A308" s="1">
        <v>42705</v>
      </c>
      <c r="B308">
        <v>26924</v>
      </c>
      <c r="C308" t="s">
        <v>79</v>
      </c>
      <c r="D308" t="s">
        <v>43</v>
      </c>
      <c r="E308" t="s">
        <v>44</v>
      </c>
      <c r="F308" s="5">
        <v>21</v>
      </c>
      <c r="G308" t="str">
        <f>IF(Data[[#This Row],[Age]]&lt;25,"Under 25",IF(Data[[#This Row],[Age]]&lt;35,"25–34",IF(Data[[#This Row],[Age]]&lt;45,"35–44",IF(Data[[#This Row],[Age]]&lt;55,"45–54","55+"))))</f>
        <v>Under 25</v>
      </c>
      <c r="H308" t="s">
        <v>25</v>
      </c>
      <c r="I308" t="s">
        <v>18</v>
      </c>
      <c r="J308" t="s">
        <v>26</v>
      </c>
      <c r="K308" s="1">
        <v>41173</v>
      </c>
      <c r="M308" s="1" t="str">
        <f>IF(ISBLANK(Data[[#This Row],[EndDate]]),"Active","InActive")</f>
        <v>Active</v>
      </c>
      <c r="N308" t="s">
        <v>20</v>
      </c>
      <c r="O308" t="s">
        <v>21</v>
      </c>
      <c r="P308" t="s">
        <v>22</v>
      </c>
      <c r="Q308" s="2">
        <v>9796.5</v>
      </c>
    </row>
    <row r="309" spans="1:17" x14ac:dyDescent="0.2">
      <c r="A309" s="1">
        <v>42705</v>
      </c>
      <c r="B309">
        <v>53988</v>
      </c>
      <c r="C309" t="s">
        <v>79</v>
      </c>
      <c r="D309" t="s">
        <v>23</v>
      </c>
      <c r="E309" t="s">
        <v>24</v>
      </c>
      <c r="F309" s="5">
        <v>21</v>
      </c>
      <c r="G309" t="str">
        <f>IF(Data[[#This Row],[Age]]&lt;25,"Under 25",IF(Data[[#This Row],[Age]]&lt;35,"25–34",IF(Data[[#This Row],[Age]]&lt;45,"35–44",IF(Data[[#This Row],[Age]]&lt;55,"45–54","55+"))))</f>
        <v>Under 25</v>
      </c>
      <c r="H309" t="s">
        <v>31</v>
      </c>
      <c r="I309" t="s">
        <v>18</v>
      </c>
      <c r="J309" t="s">
        <v>26</v>
      </c>
      <c r="K309" s="1">
        <v>40934</v>
      </c>
      <c r="M309" s="1" t="str">
        <f>IF(ISBLANK(Data[[#This Row],[EndDate]]),"Active","InActive")</f>
        <v>Active</v>
      </c>
      <c r="N309" t="s">
        <v>20</v>
      </c>
      <c r="O309" t="s">
        <v>21</v>
      </c>
      <c r="P309" t="s">
        <v>22</v>
      </c>
      <c r="Q309" s="2">
        <v>6027</v>
      </c>
    </row>
    <row r="310" spans="1:17" x14ac:dyDescent="0.2">
      <c r="A310" s="1">
        <v>43070</v>
      </c>
      <c r="B310">
        <v>24692</v>
      </c>
      <c r="C310" t="s">
        <v>79</v>
      </c>
      <c r="D310" t="s">
        <v>23</v>
      </c>
      <c r="E310" t="s">
        <v>71</v>
      </c>
      <c r="F310" s="5">
        <v>21</v>
      </c>
      <c r="G310" t="str">
        <f>IF(Data[[#This Row],[Age]]&lt;25,"Under 25",IF(Data[[#This Row],[Age]]&lt;35,"25–34",IF(Data[[#This Row],[Age]]&lt;45,"35–44",IF(Data[[#This Row],[Age]]&lt;55,"45–54","55+"))))</f>
        <v>Under 25</v>
      </c>
      <c r="H310" t="s">
        <v>34</v>
      </c>
      <c r="I310" t="s">
        <v>18</v>
      </c>
      <c r="J310" t="s">
        <v>26</v>
      </c>
      <c r="K310" s="1">
        <v>41461</v>
      </c>
      <c r="M310" s="1" t="str">
        <f>IF(ISBLANK(Data[[#This Row],[EndDate]]),"Active","InActive")</f>
        <v>Active</v>
      </c>
      <c r="N310" t="s">
        <v>20</v>
      </c>
      <c r="O310" t="s">
        <v>21</v>
      </c>
      <c r="P310" t="s">
        <v>32</v>
      </c>
      <c r="Q310" s="2">
        <v>8284.5</v>
      </c>
    </row>
    <row r="311" spans="1:17" x14ac:dyDescent="0.2">
      <c r="A311" s="1">
        <v>43070</v>
      </c>
      <c r="B311">
        <v>54366</v>
      </c>
      <c r="C311" t="s">
        <v>80</v>
      </c>
      <c r="D311" t="s">
        <v>15</v>
      </c>
      <c r="E311" t="s">
        <v>70</v>
      </c>
      <c r="F311" s="5">
        <v>21</v>
      </c>
      <c r="G311" t="str">
        <f>IF(Data[[#This Row],[Age]]&lt;25,"Under 25",IF(Data[[#This Row],[Age]]&lt;35,"25–34",IF(Data[[#This Row],[Age]]&lt;45,"35–44",IF(Data[[#This Row],[Age]]&lt;55,"45–54","55+"))))</f>
        <v>Under 25</v>
      </c>
      <c r="H311" t="s">
        <v>31</v>
      </c>
      <c r="I311" t="s">
        <v>18</v>
      </c>
      <c r="J311" t="s">
        <v>26</v>
      </c>
      <c r="K311" s="1">
        <v>41462</v>
      </c>
      <c r="M311" s="1" t="str">
        <f>IF(ISBLANK(Data[[#This Row],[EndDate]]),"Active","InActive")</f>
        <v>Active</v>
      </c>
      <c r="N311" t="s">
        <v>20</v>
      </c>
      <c r="O311" t="s">
        <v>21</v>
      </c>
      <c r="P311" t="s">
        <v>32</v>
      </c>
      <c r="Q311" s="2">
        <v>5554.5</v>
      </c>
    </row>
    <row r="312" spans="1:17" x14ac:dyDescent="0.2">
      <c r="A312" s="1">
        <v>43070</v>
      </c>
      <c r="B312">
        <v>56360</v>
      </c>
      <c r="C312" t="s">
        <v>80</v>
      </c>
      <c r="D312" t="s">
        <v>52</v>
      </c>
      <c r="E312" t="s">
        <v>53</v>
      </c>
      <c r="F312" s="5">
        <v>21</v>
      </c>
      <c r="G312" t="str">
        <f>IF(Data[[#This Row],[Age]]&lt;25,"Under 25",IF(Data[[#This Row],[Age]]&lt;35,"25–34",IF(Data[[#This Row],[Age]]&lt;45,"35–44",IF(Data[[#This Row],[Age]]&lt;55,"45–54","55+"))))</f>
        <v>Under 25</v>
      </c>
      <c r="H312" t="s">
        <v>46</v>
      </c>
      <c r="I312" t="s">
        <v>18</v>
      </c>
      <c r="J312" t="s">
        <v>26</v>
      </c>
      <c r="K312" s="1">
        <v>41564</v>
      </c>
      <c r="M312" s="1" t="str">
        <f>IF(ISBLANK(Data[[#This Row],[EndDate]]),"Active","InActive")</f>
        <v>Active</v>
      </c>
      <c r="N312" t="s">
        <v>20</v>
      </c>
      <c r="O312" t="s">
        <v>21</v>
      </c>
      <c r="P312" t="s">
        <v>32</v>
      </c>
      <c r="Q312" s="2">
        <v>5376</v>
      </c>
    </row>
    <row r="313" spans="1:17" x14ac:dyDescent="0.2">
      <c r="A313" s="1">
        <v>43435</v>
      </c>
      <c r="B313">
        <v>49976</v>
      </c>
      <c r="C313" t="s">
        <v>79</v>
      </c>
      <c r="D313" t="s">
        <v>23</v>
      </c>
      <c r="E313" t="s">
        <v>24</v>
      </c>
      <c r="F313" s="5">
        <v>21</v>
      </c>
      <c r="G313" t="str">
        <f>IF(Data[[#This Row],[Age]]&lt;25,"Under 25",IF(Data[[#This Row],[Age]]&lt;35,"25–34",IF(Data[[#This Row],[Age]]&lt;45,"35–44",IF(Data[[#This Row],[Age]]&lt;55,"45–54","55+"))))</f>
        <v>Under 25</v>
      </c>
      <c r="H313" t="s">
        <v>46</v>
      </c>
      <c r="I313" t="s">
        <v>18</v>
      </c>
      <c r="J313" t="s">
        <v>26</v>
      </c>
      <c r="K313" s="1">
        <v>41130</v>
      </c>
      <c r="M313" s="1" t="str">
        <f>IF(ISBLANK(Data[[#This Row],[EndDate]]),"Active","InActive")</f>
        <v>Active</v>
      </c>
      <c r="N313" t="s">
        <v>20</v>
      </c>
      <c r="O313" t="s">
        <v>21</v>
      </c>
      <c r="P313" t="s">
        <v>40</v>
      </c>
      <c r="Q313" s="2">
        <v>4231.5</v>
      </c>
    </row>
    <row r="314" spans="1:17" x14ac:dyDescent="0.2">
      <c r="A314" s="1">
        <v>43435</v>
      </c>
      <c r="B314">
        <v>50452</v>
      </c>
      <c r="C314" t="s">
        <v>79</v>
      </c>
      <c r="D314" t="s">
        <v>41</v>
      </c>
      <c r="E314" t="s">
        <v>62</v>
      </c>
      <c r="F314" s="5">
        <v>21</v>
      </c>
      <c r="G314" t="str">
        <f>IF(Data[[#This Row],[Age]]&lt;25,"Under 25",IF(Data[[#This Row],[Age]]&lt;35,"25–34",IF(Data[[#This Row],[Age]]&lt;45,"35–44",IF(Data[[#This Row],[Age]]&lt;55,"45–54","55+"))))</f>
        <v>Under 25</v>
      </c>
      <c r="H314" t="s">
        <v>59</v>
      </c>
      <c r="I314" t="s">
        <v>18</v>
      </c>
      <c r="J314" t="s">
        <v>26</v>
      </c>
      <c r="K314" s="1">
        <v>41795</v>
      </c>
      <c r="M314" s="1" t="str">
        <f>IF(ISBLANK(Data[[#This Row],[EndDate]]),"Active","InActive")</f>
        <v>Active</v>
      </c>
      <c r="N314" t="s">
        <v>20</v>
      </c>
      <c r="O314" t="s">
        <v>21</v>
      </c>
      <c r="P314" t="s">
        <v>40</v>
      </c>
      <c r="Q314" s="2">
        <v>3360</v>
      </c>
    </row>
    <row r="315" spans="1:17" x14ac:dyDescent="0.2">
      <c r="A315" s="1">
        <v>43435</v>
      </c>
      <c r="B315">
        <v>51690</v>
      </c>
      <c r="C315" t="s">
        <v>79</v>
      </c>
      <c r="D315" t="s">
        <v>50</v>
      </c>
      <c r="E315" t="s">
        <v>55</v>
      </c>
      <c r="F315" s="5">
        <v>21</v>
      </c>
      <c r="G315" t="str">
        <f>IF(Data[[#This Row],[Age]]&lt;25,"Under 25",IF(Data[[#This Row],[Age]]&lt;35,"25–34",IF(Data[[#This Row],[Age]]&lt;45,"35–44",IF(Data[[#This Row],[Age]]&lt;55,"45–54","55+"))))</f>
        <v>Under 25</v>
      </c>
      <c r="H315" t="s">
        <v>49</v>
      </c>
      <c r="I315" t="s">
        <v>18</v>
      </c>
      <c r="J315" t="s">
        <v>26</v>
      </c>
      <c r="K315" s="1">
        <v>41593</v>
      </c>
      <c r="M315" s="1" t="str">
        <f>IF(ISBLANK(Data[[#This Row],[EndDate]]),"Active","InActive")</f>
        <v>Active</v>
      </c>
      <c r="N315" t="s">
        <v>20</v>
      </c>
      <c r="O315" t="s">
        <v>21</v>
      </c>
      <c r="P315" t="s">
        <v>40</v>
      </c>
      <c r="Q315" s="2">
        <v>7024.5</v>
      </c>
    </row>
    <row r="316" spans="1:17" x14ac:dyDescent="0.2">
      <c r="A316" s="1">
        <v>42705</v>
      </c>
      <c r="B316">
        <v>121050</v>
      </c>
      <c r="C316" t="s">
        <v>80</v>
      </c>
      <c r="D316" t="s">
        <v>15</v>
      </c>
      <c r="E316" t="s">
        <v>16</v>
      </c>
      <c r="F316" s="5">
        <v>21</v>
      </c>
      <c r="G316" t="str">
        <f>IF(Data[[#This Row],[Age]]&lt;25,"Under 25",IF(Data[[#This Row],[Age]]&lt;35,"25–34",IF(Data[[#This Row],[Age]]&lt;45,"35–44",IF(Data[[#This Row],[Age]]&lt;55,"45–54","55+"))))</f>
        <v>Under 25</v>
      </c>
      <c r="H316" t="s">
        <v>17</v>
      </c>
      <c r="I316" t="s">
        <v>18</v>
      </c>
      <c r="J316" t="s">
        <v>37</v>
      </c>
      <c r="K316" s="1">
        <v>40374</v>
      </c>
      <c r="M316" s="1" t="str">
        <f>IF(ISBLANK(Data[[#This Row],[EndDate]]),"Active","InActive")</f>
        <v>Active</v>
      </c>
      <c r="N316" t="s">
        <v>20</v>
      </c>
      <c r="O316" t="s">
        <v>21</v>
      </c>
      <c r="P316" t="s">
        <v>22</v>
      </c>
      <c r="Q316" s="2">
        <v>1071</v>
      </c>
    </row>
    <row r="317" spans="1:17" x14ac:dyDescent="0.2">
      <c r="A317" s="1">
        <v>43070</v>
      </c>
      <c r="B317">
        <v>18008</v>
      </c>
      <c r="C317" t="s">
        <v>79</v>
      </c>
      <c r="D317" t="s">
        <v>41</v>
      </c>
      <c r="E317" t="s">
        <v>68</v>
      </c>
      <c r="F317" s="5">
        <v>21</v>
      </c>
      <c r="G317" t="str">
        <f>IF(Data[[#This Row],[Age]]&lt;25,"Under 25",IF(Data[[#This Row],[Age]]&lt;35,"25–34",IF(Data[[#This Row],[Age]]&lt;45,"35–44",IF(Data[[#This Row],[Age]]&lt;55,"45–54","55+"))))</f>
        <v>Under 25</v>
      </c>
      <c r="H317" t="s">
        <v>59</v>
      </c>
      <c r="I317" t="s">
        <v>18</v>
      </c>
      <c r="J317" t="s">
        <v>37</v>
      </c>
      <c r="K317" s="1">
        <v>41542</v>
      </c>
      <c r="M317" s="1" t="str">
        <f>IF(ISBLANK(Data[[#This Row],[EndDate]]),"Active","InActive")</f>
        <v>Active</v>
      </c>
      <c r="N317" t="s">
        <v>20</v>
      </c>
      <c r="O317" t="s">
        <v>21</v>
      </c>
      <c r="P317" t="s">
        <v>32</v>
      </c>
      <c r="Q317" s="2">
        <v>1354.5</v>
      </c>
    </row>
    <row r="318" spans="1:17" x14ac:dyDescent="0.2">
      <c r="A318" s="1">
        <v>43070</v>
      </c>
      <c r="B318">
        <v>19702</v>
      </c>
      <c r="C318" t="s">
        <v>79</v>
      </c>
      <c r="D318" t="s">
        <v>27</v>
      </c>
      <c r="E318" t="s">
        <v>74</v>
      </c>
      <c r="F318" s="5">
        <v>21</v>
      </c>
      <c r="G318" t="str">
        <f>IF(Data[[#This Row],[Age]]&lt;25,"Under 25",IF(Data[[#This Row],[Age]]&lt;35,"25–34",IF(Data[[#This Row],[Age]]&lt;45,"35–44",IF(Data[[#This Row],[Age]]&lt;55,"45–54","55+"))))</f>
        <v>Under 25</v>
      </c>
      <c r="H318" t="s">
        <v>34</v>
      </c>
      <c r="I318" t="s">
        <v>18</v>
      </c>
      <c r="J318" t="s">
        <v>37</v>
      </c>
      <c r="K318" s="1">
        <v>41501</v>
      </c>
      <c r="M318" s="1" t="str">
        <f>IF(ISBLANK(Data[[#This Row],[EndDate]]),"Active","InActive")</f>
        <v>Active</v>
      </c>
      <c r="N318" t="s">
        <v>20</v>
      </c>
      <c r="O318" t="s">
        <v>21</v>
      </c>
      <c r="P318" t="s">
        <v>32</v>
      </c>
      <c r="Q318" s="2">
        <v>4830</v>
      </c>
    </row>
    <row r="319" spans="1:17" x14ac:dyDescent="0.2">
      <c r="A319" s="1">
        <v>43070</v>
      </c>
      <c r="B319">
        <v>25882</v>
      </c>
      <c r="C319" t="s">
        <v>79</v>
      </c>
      <c r="D319" t="s">
        <v>29</v>
      </c>
      <c r="E319" t="s">
        <v>30</v>
      </c>
      <c r="F319" s="5">
        <v>21</v>
      </c>
      <c r="G319" t="str">
        <f>IF(Data[[#This Row],[Age]]&lt;25,"Under 25",IF(Data[[#This Row],[Age]]&lt;35,"25–34",IF(Data[[#This Row],[Age]]&lt;45,"35–44",IF(Data[[#This Row],[Age]]&lt;55,"45–54","55+"))))</f>
        <v>Under 25</v>
      </c>
      <c r="H319" t="s">
        <v>31</v>
      </c>
      <c r="I319" t="s">
        <v>18</v>
      </c>
      <c r="J319" t="s">
        <v>37</v>
      </c>
      <c r="K319" s="1">
        <v>41082</v>
      </c>
      <c r="M319" s="1" t="str">
        <f>IF(ISBLANK(Data[[#This Row],[EndDate]]),"Active","InActive")</f>
        <v>Active</v>
      </c>
      <c r="N319" t="s">
        <v>20</v>
      </c>
      <c r="O319" t="s">
        <v>21</v>
      </c>
      <c r="P319" t="s">
        <v>32</v>
      </c>
      <c r="Q319" s="2">
        <v>2457</v>
      </c>
    </row>
    <row r="320" spans="1:17" x14ac:dyDescent="0.2">
      <c r="A320" s="1">
        <v>43070</v>
      </c>
      <c r="B320">
        <v>50812</v>
      </c>
      <c r="C320" t="s">
        <v>80</v>
      </c>
      <c r="D320" t="s">
        <v>38</v>
      </c>
      <c r="E320" t="s">
        <v>39</v>
      </c>
      <c r="F320" s="5">
        <v>21</v>
      </c>
      <c r="G320" t="str">
        <f>IF(Data[[#This Row],[Age]]&lt;25,"Under 25",IF(Data[[#This Row],[Age]]&lt;35,"25–34",IF(Data[[#This Row],[Age]]&lt;45,"35–44",IF(Data[[#This Row],[Age]]&lt;55,"45–54","55+"))))</f>
        <v>Under 25</v>
      </c>
      <c r="H320" t="s">
        <v>46</v>
      </c>
      <c r="I320" t="s">
        <v>18</v>
      </c>
      <c r="J320" t="s">
        <v>37</v>
      </c>
      <c r="K320" s="1">
        <v>41328</v>
      </c>
      <c r="M320" s="1" t="str">
        <f>IF(ISBLANK(Data[[#This Row],[EndDate]]),"Active","InActive")</f>
        <v>Active</v>
      </c>
      <c r="N320" t="s">
        <v>20</v>
      </c>
      <c r="O320" t="s">
        <v>21</v>
      </c>
      <c r="P320" t="s">
        <v>32</v>
      </c>
      <c r="Q320" s="2">
        <v>5691</v>
      </c>
    </row>
    <row r="321" spans="1:17" x14ac:dyDescent="0.2">
      <c r="A321" s="1">
        <v>43070</v>
      </c>
      <c r="B321">
        <v>52304</v>
      </c>
      <c r="C321" t="s">
        <v>80</v>
      </c>
      <c r="D321" t="s">
        <v>23</v>
      </c>
      <c r="E321" t="s">
        <v>65</v>
      </c>
      <c r="F321" s="5">
        <v>21</v>
      </c>
      <c r="G321" t="str">
        <f>IF(Data[[#This Row],[Age]]&lt;25,"Under 25",IF(Data[[#This Row],[Age]]&lt;35,"25–34",IF(Data[[#This Row],[Age]]&lt;45,"35–44",IF(Data[[#This Row],[Age]]&lt;55,"45–54","55+"))))</f>
        <v>Under 25</v>
      </c>
      <c r="H321" t="s">
        <v>31</v>
      </c>
      <c r="I321" t="s">
        <v>18</v>
      </c>
      <c r="J321" t="s">
        <v>37</v>
      </c>
      <c r="K321" s="1">
        <v>41571</v>
      </c>
      <c r="M321" s="1" t="str">
        <f>IF(ISBLANK(Data[[#This Row],[EndDate]]),"Active","InActive")</f>
        <v>Active</v>
      </c>
      <c r="N321" t="s">
        <v>20</v>
      </c>
      <c r="O321" t="s">
        <v>21</v>
      </c>
      <c r="P321" t="s">
        <v>32</v>
      </c>
      <c r="Q321" s="2">
        <v>4063.5</v>
      </c>
    </row>
    <row r="322" spans="1:17" x14ac:dyDescent="0.2">
      <c r="A322" s="1">
        <v>43070</v>
      </c>
      <c r="B322">
        <v>55566</v>
      </c>
      <c r="C322" t="s">
        <v>80</v>
      </c>
      <c r="D322" t="s">
        <v>52</v>
      </c>
      <c r="E322" t="s">
        <v>67</v>
      </c>
      <c r="F322" s="5">
        <v>21</v>
      </c>
      <c r="G322" t="str">
        <f>IF(Data[[#This Row],[Age]]&lt;25,"Under 25",IF(Data[[#This Row],[Age]]&lt;35,"25–34",IF(Data[[#This Row],[Age]]&lt;45,"35–44",IF(Data[[#This Row],[Age]]&lt;55,"45–54","55+"))))</f>
        <v>Under 25</v>
      </c>
      <c r="H322" t="s">
        <v>49</v>
      </c>
      <c r="I322" t="s">
        <v>18</v>
      </c>
      <c r="J322" t="s">
        <v>37</v>
      </c>
      <c r="K322" s="1">
        <v>41515</v>
      </c>
      <c r="M322" s="1" t="str">
        <f>IF(ISBLANK(Data[[#This Row],[EndDate]]),"Active","InActive")</f>
        <v>Active</v>
      </c>
      <c r="N322" t="s">
        <v>20</v>
      </c>
      <c r="O322" t="s">
        <v>21</v>
      </c>
      <c r="P322" t="s">
        <v>32</v>
      </c>
      <c r="Q322" s="2">
        <v>9492</v>
      </c>
    </row>
    <row r="323" spans="1:17" x14ac:dyDescent="0.2">
      <c r="A323" s="1">
        <v>43435</v>
      </c>
      <c r="B323">
        <v>49746</v>
      </c>
      <c r="C323" t="s">
        <v>79</v>
      </c>
      <c r="D323" t="s">
        <v>41</v>
      </c>
      <c r="E323" t="s">
        <v>62</v>
      </c>
      <c r="F323" s="5">
        <v>21</v>
      </c>
      <c r="G323" t="str">
        <f>IF(Data[[#This Row],[Age]]&lt;25,"Under 25",IF(Data[[#This Row],[Age]]&lt;35,"25–34",IF(Data[[#This Row],[Age]]&lt;45,"35–44",IF(Data[[#This Row],[Age]]&lt;55,"45–54","55+"))))</f>
        <v>Under 25</v>
      </c>
      <c r="H323" t="s">
        <v>25</v>
      </c>
      <c r="I323" t="s">
        <v>18</v>
      </c>
      <c r="J323" t="s">
        <v>37</v>
      </c>
      <c r="K323" s="1">
        <v>41880</v>
      </c>
      <c r="M323" s="1" t="str">
        <f>IF(ISBLANK(Data[[#This Row],[EndDate]]),"Active","InActive")</f>
        <v>Active</v>
      </c>
      <c r="N323" t="s">
        <v>20</v>
      </c>
      <c r="O323" t="s">
        <v>21</v>
      </c>
      <c r="P323" t="s">
        <v>40</v>
      </c>
      <c r="Q323" s="2">
        <v>7413</v>
      </c>
    </row>
    <row r="324" spans="1:17" x14ac:dyDescent="0.2">
      <c r="A324" s="1">
        <v>43435</v>
      </c>
      <c r="B324">
        <v>50466</v>
      </c>
      <c r="C324" t="s">
        <v>80</v>
      </c>
      <c r="D324" t="s">
        <v>47</v>
      </c>
      <c r="E324" t="s">
        <v>48</v>
      </c>
      <c r="F324" s="5">
        <v>21</v>
      </c>
      <c r="G324" t="str">
        <f>IF(Data[[#This Row],[Age]]&lt;25,"Under 25",IF(Data[[#This Row],[Age]]&lt;35,"25–34",IF(Data[[#This Row],[Age]]&lt;45,"35–44",IF(Data[[#This Row],[Age]]&lt;55,"45–54","55+"))))</f>
        <v>Under 25</v>
      </c>
      <c r="H324" t="s">
        <v>25</v>
      </c>
      <c r="I324" t="s">
        <v>18</v>
      </c>
      <c r="J324" t="s">
        <v>37</v>
      </c>
      <c r="K324" s="1">
        <v>41906</v>
      </c>
      <c r="M324" s="1" t="str">
        <f>IF(ISBLANK(Data[[#This Row],[EndDate]]),"Active","InActive")</f>
        <v>Active</v>
      </c>
      <c r="N324" t="s">
        <v>20</v>
      </c>
      <c r="O324" t="s">
        <v>21</v>
      </c>
      <c r="P324" t="s">
        <v>40</v>
      </c>
      <c r="Q324" s="2">
        <v>6373.5</v>
      </c>
    </row>
    <row r="325" spans="1:17" x14ac:dyDescent="0.2">
      <c r="A325" s="1">
        <v>43435</v>
      </c>
      <c r="B325">
        <v>51430</v>
      </c>
      <c r="C325" t="s">
        <v>79</v>
      </c>
      <c r="D325" t="s">
        <v>41</v>
      </c>
      <c r="E325" t="s">
        <v>68</v>
      </c>
      <c r="F325" s="5">
        <v>21</v>
      </c>
      <c r="G325" t="str">
        <f>IF(Data[[#This Row],[Age]]&lt;25,"Under 25",IF(Data[[#This Row],[Age]]&lt;35,"25–34",IF(Data[[#This Row],[Age]]&lt;45,"35–44",IF(Data[[#This Row],[Age]]&lt;55,"45–54","55+"))))</f>
        <v>Under 25</v>
      </c>
      <c r="H325" t="s">
        <v>49</v>
      </c>
      <c r="I325" t="s">
        <v>18</v>
      </c>
      <c r="J325" t="s">
        <v>37</v>
      </c>
      <c r="K325" s="1">
        <v>41865</v>
      </c>
      <c r="M325" s="1" t="str">
        <f>IF(ISBLANK(Data[[#This Row],[EndDate]]),"Active","InActive")</f>
        <v>Active</v>
      </c>
      <c r="N325" t="s">
        <v>20</v>
      </c>
      <c r="O325" t="s">
        <v>21</v>
      </c>
      <c r="P325" t="s">
        <v>40</v>
      </c>
      <c r="Q325" s="2">
        <v>4714.5</v>
      </c>
    </row>
    <row r="326" spans="1:17" x14ac:dyDescent="0.2">
      <c r="A326" s="1">
        <v>43435</v>
      </c>
      <c r="B326">
        <v>51980</v>
      </c>
      <c r="C326" t="s">
        <v>79</v>
      </c>
      <c r="D326" t="s">
        <v>41</v>
      </c>
      <c r="E326" t="s">
        <v>42</v>
      </c>
      <c r="F326" s="5">
        <v>21</v>
      </c>
      <c r="G326" t="str">
        <f>IF(Data[[#This Row],[Age]]&lt;25,"Under 25",IF(Data[[#This Row],[Age]]&lt;35,"25–34",IF(Data[[#This Row],[Age]]&lt;45,"35–44",IF(Data[[#This Row],[Age]]&lt;55,"45–54","55+"))))</f>
        <v>Under 25</v>
      </c>
      <c r="H326" t="s">
        <v>17</v>
      </c>
      <c r="I326" t="s">
        <v>18</v>
      </c>
      <c r="J326" t="s">
        <v>37</v>
      </c>
      <c r="K326" s="1">
        <v>41810</v>
      </c>
      <c r="M326" s="1" t="str">
        <f>IF(ISBLANK(Data[[#This Row],[EndDate]]),"Active","InActive")</f>
        <v>Active</v>
      </c>
      <c r="N326" t="s">
        <v>20</v>
      </c>
      <c r="O326" t="s">
        <v>21</v>
      </c>
      <c r="P326" t="s">
        <v>40</v>
      </c>
      <c r="Q326" s="2">
        <v>5607</v>
      </c>
    </row>
    <row r="327" spans="1:17" x14ac:dyDescent="0.2">
      <c r="A327" s="1">
        <v>43435</v>
      </c>
      <c r="B327">
        <v>52634</v>
      </c>
      <c r="C327" t="s">
        <v>79</v>
      </c>
      <c r="D327" t="s">
        <v>43</v>
      </c>
      <c r="E327" t="s">
        <v>66</v>
      </c>
      <c r="F327" s="5">
        <v>21</v>
      </c>
      <c r="G327" t="str">
        <f>IF(Data[[#This Row],[Age]]&lt;25,"Under 25",IF(Data[[#This Row],[Age]]&lt;35,"25–34",IF(Data[[#This Row],[Age]]&lt;45,"35–44",IF(Data[[#This Row],[Age]]&lt;55,"45–54","55+"))))</f>
        <v>Under 25</v>
      </c>
      <c r="H327" t="s">
        <v>31</v>
      </c>
      <c r="I327" t="s">
        <v>18</v>
      </c>
      <c r="J327" t="s">
        <v>37</v>
      </c>
      <c r="K327" s="1">
        <v>41961</v>
      </c>
      <c r="M327" s="1" t="str">
        <f>IF(ISBLANK(Data[[#This Row],[EndDate]]),"Active","InActive")</f>
        <v>Active</v>
      </c>
      <c r="N327" t="s">
        <v>20</v>
      </c>
      <c r="O327" t="s">
        <v>21</v>
      </c>
      <c r="P327" t="s">
        <v>40</v>
      </c>
      <c r="Q327" s="2">
        <v>3402</v>
      </c>
    </row>
    <row r="328" spans="1:17" x14ac:dyDescent="0.2">
      <c r="A328" s="1">
        <v>43435</v>
      </c>
      <c r="B328">
        <v>54636</v>
      </c>
      <c r="C328" t="s">
        <v>79</v>
      </c>
      <c r="D328" t="s">
        <v>41</v>
      </c>
      <c r="E328" t="s">
        <v>62</v>
      </c>
      <c r="F328" s="5">
        <v>21</v>
      </c>
      <c r="G328" t="str">
        <f>IF(Data[[#This Row],[Age]]&lt;25,"Under 25",IF(Data[[#This Row],[Age]]&lt;35,"25–34",IF(Data[[#This Row],[Age]]&lt;45,"35–44",IF(Data[[#This Row],[Age]]&lt;55,"45–54","55+"))))</f>
        <v>Under 25</v>
      </c>
      <c r="H328" t="s">
        <v>49</v>
      </c>
      <c r="I328" t="s">
        <v>18</v>
      </c>
      <c r="J328" t="s">
        <v>37</v>
      </c>
      <c r="K328" s="1">
        <v>41744</v>
      </c>
      <c r="M328" s="1" t="str">
        <f>IF(ISBLANK(Data[[#This Row],[EndDate]]),"Active","InActive")</f>
        <v>Active</v>
      </c>
      <c r="N328" t="s">
        <v>20</v>
      </c>
      <c r="O328" t="s">
        <v>21</v>
      </c>
      <c r="P328" t="s">
        <v>40</v>
      </c>
      <c r="Q328" s="2">
        <v>9859.5</v>
      </c>
    </row>
    <row r="329" spans="1:17" x14ac:dyDescent="0.2">
      <c r="A329" s="1">
        <v>43435</v>
      </c>
      <c r="B329">
        <v>54656</v>
      </c>
      <c r="C329" t="s">
        <v>79</v>
      </c>
      <c r="D329" t="s">
        <v>29</v>
      </c>
      <c r="E329" t="s">
        <v>30</v>
      </c>
      <c r="F329" s="5">
        <v>21</v>
      </c>
      <c r="G329" t="str">
        <f>IF(Data[[#This Row],[Age]]&lt;25,"Under 25",IF(Data[[#This Row],[Age]]&lt;35,"25–34",IF(Data[[#This Row],[Age]]&lt;45,"35–44",IF(Data[[#This Row],[Age]]&lt;55,"45–54","55+"))))</f>
        <v>Under 25</v>
      </c>
      <c r="H329" t="s">
        <v>49</v>
      </c>
      <c r="I329" t="s">
        <v>18</v>
      </c>
      <c r="J329" t="s">
        <v>37</v>
      </c>
      <c r="K329" s="1">
        <v>41885</v>
      </c>
      <c r="M329" s="1" t="str">
        <f>IF(ISBLANK(Data[[#This Row],[EndDate]]),"Active","InActive")</f>
        <v>Active</v>
      </c>
      <c r="N329" t="s">
        <v>20</v>
      </c>
      <c r="O329" t="s">
        <v>21</v>
      </c>
      <c r="P329" t="s">
        <v>40</v>
      </c>
      <c r="Q329" s="2">
        <v>4683</v>
      </c>
    </row>
    <row r="330" spans="1:17" x14ac:dyDescent="0.2">
      <c r="A330" s="1">
        <v>43435</v>
      </c>
      <c r="B330">
        <v>55576</v>
      </c>
      <c r="C330" t="s">
        <v>79</v>
      </c>
      <c r="D330" t="s">
        <v>38</v>
      </c>
      <c r="E330" t="s">
        <v>39</v>
      </c>
      <c r="F330" s="5">
        <v>21</v>
      </c>
      <c r="G330" t="str">
        <f>IF(Data[[#This Row],[Age]]&lt;25,"Under 25",IF(Data[[#This Row],[Age]]&lt;35,"25–34",IF(Data[[#This Row],[Age]]&lt;45,"35–44",IF(Data[[#This Row],[Age]]&lt;55,"45–54","55+"))))</f>
        <v>Under 25</v>
      </c>
      <c r="H330" t="s">
        <v>25</v>
      </c>
      <c r="I330" t="s">
        <v>18</v>
      </c>
      <c r="J330" t="s">
        <v>37</v>
      </c>
      <c r="K330" s="1">
        <v>41895</v>
      </c>
      <c r="M330" s="1" t="str">
        <f>IF(ISBLANK(Data[[#This Row],[EndDate]]),"Active","InActive")</f>
        <v>Active</v>
      </c>
      <c r="N330" t="s">
        <v>20</v>
      </c>
      <c r="O330" t="s">
        <v>21</v>
      </c>
      <c r="P330" t="s">
        <v>40</v>
      </c>
      <c r="Q330" s="2">
        <v>10321.5</v>
      </c>
    </row>
    <row r="331" spans="1:17" x14ac:dyDescent="0.2">
      <c r="A331" s="1">
        <v>43435</v>
      </c>
      <c r="B331">
        <v>41290</v>
      </c>
      <c r="C331" t="s">
        <v>80</v>
      </c>
      <c r="D331" t="s">
        <v>41</v>
      </c>
      <c r="E331" t="s">
        <v>42</v>
      </c>
      <c r="F331" s="5">
        <v>21</v>
      </c>
      <c r="G331" t="str">
        <f>IF(Data[[#This Row],[Age]]&lt;25,"Under 25",IF(Data[[#This Row],[Age]]&lt;35,"25–34",IF(Data[[#This Row],[Age]]&lt;45,"35–44",IF(Data[[#This Row],[Age]]&lt;55,"45–54","55+"))))</f>
        <v>Under 25</v>
      </c>
      <c r="H331" t="s">
        <v>17</v>
      </c>
      <c r="I331" t="s">
        <v>18</v>
      </c>
      <c r="J331" t="s">
        <v>37</v>
      </c>
      <c r="K331" s="1">
        <v>41682</v>
      </c>
      <c r="M331" s="1" t="str">
        <f>IF(ISBLANK(Data[[#This Row],[EndDate]]),"Active","InActive")</f>
        <v>Active</v>
      </c>
      <c r="N331" t="s">
        <v>20</v>
      </c>
      <c r="O331" t="s">
        <v>21</v>
      </c>
      <c r="P331" t="s">
        <v>40</v>
      </c>
      <c r="Q331" s="2">
        <v>7770</v>
      </c>
    </row>
    <row r="332" spans="1:17" x14ac:dyDescent="0.2">
      <c r="A332" s="1">
        <v>43435</v>
      </c>
      <c r="B332">
        <v>43806</v>
      </c>
      <c r="C332" t="s">
        <v>80</v>
      </c>
      <c r="D332" t="s">
        <v>15</v>
      </c>
      <c r="E332" t="s">
        <v>16</v>
      </c>
      <c r="F332" s="5">
        <v>21</v>
      </c>
      <c r="G332" t="str">
        <f>IF(Data[[#This Row],[Age]]&lt;25,"Under 25",IF(Data[[#This Row],[Age]]&lt;35,"25–34",IF(Data[[#This Row],[Age]]&lt;45,"35–44",IF(Data[[#This Row],[Age]]&lt;55,"45–54","55+"))))</f>
        <v>Under 25</v>
      </c>
      <c r="H332" t="s">
        <v>59</v>
      </c>
      <c r="I332" t="s">
        <v>18</v>
      </c>
      <c r="J332" t="s">
        <v>37</v>
      </c>
      <c r="K332" s="1">
        <v>41717</v>
      </c>
      <c r="M332" s="1" t="str">
        <f>IF(ISBLANK(Data[[#This Row],[EndDate]]),"Active","InActive")</f>
        <v>Active</v>
      </c>
      <c r="N332" t="s">
        <v>20</v>
      </c>
      <c r="O332" t="s">
        <v>21</v>
      </c>
      <c r="P332" t="s">
        <v>40</v>
      </c>
      <c r="Q332" s="2">
        <v>7906.5</v>
      </c>
    </row>
    <row r="333" spans="1:17" x14ac:dyDescent="0.2">
      <c r="A333" s="1">
        <v>42705</v>
      </c>
      <c r="B333">
        <v>41082</v>
      </c>
      <c r="C333" t="s">
        <v>79</v>
      </c>
      <c r="D333" t="s">
        <v>23</v>
      </c>
      <c r="E333" t="s">
        <v>71</v>
      </c>
      <c r="F333" s="5">
        <v>21</v>
      </c>
      <c r="G333" t="str">
        <f>IF(Data[[#This Row],[Age]]&lt;25,"Under 25",IF(Data[[#This Row],[Age]]&lt;35,"25–34",IF(Data[[#This Row],[Age]]&lt;45,"35–44",IF(Data[[#This Row],[Age]]&lt;55,"45–54","55+"))))</f>
        <v>Under 25</v>
      </c>
      <c r="H333" t="s">
        <v>25</v>
      </c>
      <c r="I333" t="s">
        <v>18</v>
      </c>
      <c r="J333" t="s">
        <v>37</v>
      </c>
      <c r="K333" s="1">
        <v>40227</v>
      </c>
      <c r="M333" s="1" t="str">
        <f>IF(ISBLANK(Data[[#This Row],[EndDate]]),"Active","InActive")</f>
        <v>Active</v>
      </c>
      <c r="N333" t="s">
        <v>20</v>
      </c>
      <c r="O333" t="s">
        <v>21</v>
      </c>
      <c r="P333" t="s">
        <v>22</v>
      </c>
      <c r="Q333" s="2">
        <v>4294.5</v>
      </c>
    </row>
    <row r="334" spans="1:17" x14ac:dyDescent="0.2">
      <c r="A334" s="1">
        <v>42705</v>
      </c>
      <c r="B334">
        <v>50384</v>
      </c>
      <c r="C334" t="s">
        <v>79</v>
      </c>
      <c r="D334" t="s">
        <v>52</v>
      </c>
      <c r="E334" t="s">
        <v>69</v>
      </c>
      <c r="F334" s="5">
        <v>21</v>
      </c>
      <c r="G334" t="str">
        <f>IF(Data[[#This Row],[Age]]&lt;25,"Under 25",IF(Data[[#This Row],[Age]]&lt;35,"25–34",IF(Data[[#This Row],[Age]]&lt;45,"35–44",IF(Data[[#This Row],[Age]]&lt;55,"45–54","55+"))))</f>
        <v>Under 25</v>
      </c>
      <c r="H334" t="s">
        <v>49</v>
      </c>
      <c r="I334" t="s">
        <v>18</v>
      </c>
      <c r="J334" t="s">
        <v>37</v>
      </c>
      <c r="K334" s="1">
        <v>40799</v>
      </c>
      <c r="M334" s="1" t="str">
        <f>IF(ISBLANK(Data[[#This Row],[EndDate]]),"Active","InActive")</f>
        <v>Active</v>
      </c>
      <c r="N334" t="s">
        <v>20</v>
      </c>
      <c r="O334" t="s">
        <v>21</v>
      </c>
      <c r="P334" t="s">
        <v>22</v>
      </c>
      <c r="Q334" s="2">
        <v>6006</v>
      </c>
    </row>
    <row r="335" spans="1:17" x14ac:dyDescent="0.2">
      <c r="A335" s="1">
        <v>42705</v>
      </c>
      <c r="B335">
        <v>54528</v>
      </c>
      <c r="C335" t="s">
        <v>79</v>
      </c>
      <c r="D335" t="s">
        <v>41</v>
      </c>
      <c r="E335" t="s">
        <v>68</v>
      </c>
      <c r="F335" s="5">
        <v>21</v>
      </c>
      <c r="G335" t="str">
        <f>IF(Data[[#This Row],[Age]]&lt;25,"Under 25",IF(Data[[#This Row],[Age]]&lt;35,"25–34",IF(Data[[#This Row],[Age]]&lt;45,"35–44",IF(Data[[#This Row],[Age]]&lt;55,"45–54","55+"))))</f>
        <v>Under 25</v>
      </c>
      <c r="H335" t="s">
        <v>46</v>
      </c>
      <c r="I335" t="s">
        <v>18</v>
      </c>
      <c r="J335" t="s">
        <v>37</v>
      </c>
      <c r="K335" s="1">
        <v>40892</v>
      </c>
      <c r="M335" s="1" t="str">
        <f>IF(ISBLANK(Data[[#This Row],[EndDate]]),"Active","InActive")</f>
        <v>Active</v>
      </c>
      <c r="N335" t="s">
        <v>20</v>
      </c>
      <c r="O335" t="s">
        <v>21</v>
      </c>
      <c r="P335" t="s">
        <v>22</v>
      </c>
      <c r="Q335" s="2">
        <v>8116.5</v>
      </c>
    </row>
    <row r="336" spans="1:17" x14ac:dyDescent="0.2">
      <c r="A336" s="1">
        <v>42705</v>
      </c>
      <c r="B336">
        <v>54906</v>
      </c>
      <c r="C336" t="s">
        <v>79</v>
      </c>
      <c r="D336" t="s">
        <v>52</v>
      </c>
      <c r="E336" t="s">
        <v>53</v>
      </c>
      <c r="F336" s="5">
        <v>21</v>
      </c>
      <c r="G336" t="str">
        <f>IF(Data[[#This Row],[Age]]&lt;25,"Under 25",IF(Data[[#This Row],[Age]]&lt;35,"25–34",IF(Data[[#This Row],[Age]]&lt;45,"35–44",IF(Data[[#This Row],[Age]]&lt;55,"45–54","55+"))))</f>
        <v>Under 25</v>
      </c>
      <c r="H336" t="s">
        <v>25</v>
      </c>
      <c r="I336" t="s">
        <v>18</v>
      </c>
      <c r="J336" t="s">
        <v>37</v>
      </c>
      <c r="K336" s="1">
        <v>40983</v>
      </c>
      <c r="M336" s="1" t="str">
        <f>IF(ISBLANK(Data[[#This Row],[EndDate]]),"Active","InActive")</f>
        <v>Active</v>
      </c>
      <c r="N336" t="s">
        <v>20</v>
      </c>
      <c r="O336" t="s">
        <v>21</v>
      </c>
      <c r="P336" t="s">
        <v>22</v>
      </c>
      <c r="Q336" s="2">
        <v>1711.5</v>
      </c>
    </row>
    <row r="337" spans="1:17" x14ac:dyDescent="0.2">
      <c r="A337" s="1">
        <v>42705</v>
      </c>
      <c r="B337">
        <v>102964</v>
      </c>
      <c r="C337" t="s">
        <v>79</v>
      </c>
      <c r="D337" t="s">
        <v>38</v>
      </c>
      <c r="E337" t="s">
        <v>61</v>
      </c>
      <c r="F337" s="5">
        <v>21</v>
      </c>
      <c r="G337" t="str">
        <f>IF(Data[[#This Row],[Age]]&lt;25,"Under 25",IF(Data[[#This Row],[Age]]&lt;35,"25–34",IF(Data[[#This Row],[Age]]&lt;45,"35–44",IF(Data[[#This Row],[Age]]&lt;55,"45–54","55+"))))</f>
        <v>Under 25</v>
      </c>
      <c r="H337" t="s">
        <v>31</v>
      </c>
      <c r="I337" t="s">
        <v>18</v>
      </c>
      <c r="J337" t="s">
        <v>37</v>
      </c>
      <c r="K337" s="1">
        <v>40960</v>
      </c>
      <c r="M337" s="1" t="str">
        <f>IF(ISBLANK(Data[[#This Row],[EndDate]]),"Active","InActive")</f>
        <v>Active</v>
      </c>
      <c r="N337" t="s">
        <v>20</v>
      </c>
      <c r="O337" t="s">
        <v>21</v>
      </c>
      <c r="P337" t="s">
        <v>22</v>
      </c>
      <c r="Q337" s="2">
        <v>10395</v>
      </c>
    </row>
    <row r="338" spans="1:17" x14ac:dyDescent="0.2">
      <c r="A338" s="1">
        <v>43070</v>
      </c>
      <c r="B338">
        <v>41292</v>
      </c>
      <c r="C338" t="s">
        <v>79</v>
      </c>
      <c r="D338" t="s">
        <v>47</v>
      </c>
      <c r="E338" t="s">
        <v>48</v>
      </c>
      <c r="F338" s="5">
        <v>21</v>
      </c>
      <c r="G338" t="str">
        <f>IF(Data[[#This Row],[Age]]&lt;25,"Under 25",IF(Data[[#This Row],[Age]]&lt;35,"25–34",IF(Data[[#This Row],[Age]]&lt;45,"35–44",IF(Data[[#This Row],[Age]]&lt;55,"45–54","55+"))))</f>
        <v>Under 25</v>
      </c>
      <c r="H338" t="s">
        <v>31</v>
      </c>
      <c r="I338" t="s">
        <v>18</v>
      </c>
      <c r="J338" t="s">
        <v>37</v>
      </c>
      <c r="K338" s="1">
        <v>41216</v>
      </c>
      <c r="M338" s="1" t="str">
        <f>IF(ISBLANK(Data[[#This Row],[EndDate]]),"Active","InActive")</f>
        <v>Active</v>
      </c>
      <c r="N338" t="s">
        <v>20</v>
      </c>
      <c r="O338" t="s">
        <v>21</v>
      </c>
      <c r="P338" t="s">
        <v>32</v>
      </c>
      <c r="Q338" s="2">
        <v>6069</v>
      </c>
    </row>
    <row r="339" spans="1:17" x14ac:dyDescent="0.2">
      <c r="A339" s="1">
        <v>43435</v>
      </c>
      <c r="B339">
        <v>41314</v>
      </c>
      <c r="C339" t="s">
        <v>79</v>
      </c>
      <c r="D339" t="s">
        <v>50</v>
      </c>
      <c r="E339" t="s">
        <v>55</v>
      </c>
      <c r="F339" s="5">
        <v>21</v>
      </c>
      <c r="G339" t="str">
        <f>IF(Data[[#This Row],[Age]]&lt;25,"Under 25",IF(Data[[#This Row],[Age]]&lt;35,"25–34",IF(Data[[#This Row],[Age]]&lt;45,"35–44",IF(Data[[#This Row],[Age]]&lt;55,"45–54","55+"))))</f>
        <v>Under 25</v>
      </c>
      <c r="H339" t="s">
        <v>25</v>
      </c>
      <c r="I339" t="s">
        <v>18</v>
      </c>
      <c r="J339" t="s">
        <v>37</v>
      </c>
      <c r="K339" s="1">
        <v>41796</v>
      </c>
      <c r="M339" s="1" t="str">
        <f>IF(ISBLANK(Data[[#This Row],[EndDate]]),"Active","InActive")</f>
        <v>Active</v>
      </c>
      <c r="N339" t="s">
        <v>20</v>
      </c>
      <c r="O339" t="s">
        <v>21</v>
      </c>
      <c r="P339" t="s">
        <v>40</v>
      </c>
      <c r="Q339" s="2">
        <v>3549</v>
      </c>
    </row>
    <row r="340" spans="1:17" x14ac:dyDescent="0.2">
      <c r="A340" s="1">
        <v>43435</v>
      </c>
      <c r="B340">
        <v>43784</v>
      </c>
      <c r="C340" t="s">
        <v>79</v>
      </c>
      <c r="D340" t="s">
        <v>15</v>
      </c>
      <c r="E340" t="s">
        <v>70</v>
      </c>
      <c r="F340" s="5">
        <v>21</v>
      </c>
      <c r="G340" t="str">
        <f>IF(Data[[#This Row],[Age]]&lt;25,"Under 25",IF(Data[[#This Row],[Age]]&lt;35,"25–34",IF(Data[[#This Row],[Age]]&lt;45,"35–44",IF(Data[[#This Row],[Age]]&lt;55,"45–54","55+"))))</f>
        <v>Under 25</v>
      </c>
      <c r="H340" t="s">
        <v>46</v>
      </c>
      <c r="I340" t="s">
        <v>18</v>
      </c>
      <c r="J340" t="s">
        <v>37</v>
      </c>
      <c r="K340" s="1">
        <v>41501</v>
      </c>
      <c r="M340" s="1" t="str">
        <f>IF(ISBLANK(Data[[#This Row],[EndDate]]),"Active","InActive")</f>
        <v>Active</v>
      </c>
      <c r="N340" t="s">
        <v>20</v>
      </c>
      <c r="O340" t="s">
        <v>21</v>
      </c>
      <c r="P340" t="s">
        <v>40</v>
      </c>
      <c r="Q340" s="2">
        <v>9838.5</v>
      </c>
    </row>
    <row r="341" spans="1:17" x14ac:dyDescent="0.2">
      <c r="A341" s="1">
        <v>43435</v>
      </c>
      <c r="B341">
        <v>54918</v>
      </c>
      <c r="C341" t="s">
        <v>79</v>
      </c>
      <c r="D341" t="s">
        <v>27</v>
      </c>
      <c r="E341" t="s">
        <v>74</v>
      </c>
      <c r="F341" s="5">
        <v>21</v>
      </c>
      <c r="G341" t="str">
        <f>IF(Data[[#This Row],[Age]]&lt;25,"Under 25",IF(Data[[#This Row],[Age]]&lt;35,"25–34",IF(Data[[#This Row],[Age]]&lt;45,"35–44",IF(Data[[#This Row],[Age]]&lt;55,"45–54","55+"))))</f>
        <v>Under 25</v>
      </c>
      <c r="H341" t="s">
        <v>59</v>
      </c>
      <c r="I341" t="s">
        <v>18</v>
      </c>
      <c r="J341" t="s">
        <v>37</v>
      </c>
      <c r="K341" s="1">
        <v>41425</v>
      </c>
      <c r="M341" s="1" t="str">
        <f>IF(ISBLANK(Data[[#This Row],[EndDate]]),"Active","InActive")</f>
        <v>Active</v>
      </c>
      <c r="N341" t="s">
        <v>20</v>
      </c>
      <c r="O341" t="s">
        <v>21</v>
      </c>
      <c r="P341" t="s">
        <v>40</v>
      </c>
      <c r="Q341" s="2">
        <v>3528</v>
      </c>
    </row>
    <row r="342" spans="1:17" x14ac:dyDescent="0.2">
      <c r="A342" s="1">
        <v>42705</v>
      </c>
      <c r="B342">
        <v>43728</v>
      </c>
      <c r="C342" t="s">
        <v>79</v>
      </c>
      <c r="D342" t="s">
        <v>15</v>
      </c>
      <c r="E342" t="s">
        <v>16</v>
      </c>
      <c r="F342" s="5">
        <v>21</v>
      </c>
      <c r="G342" t="str">
        <f>IF(Data[[#This Row],[Age]]&lt;25,"Under 25",IF(Data[[#This Row],[Age]]&lt;35,"25–34",IF(Data[[#This Row],[Age]]&lt;45,"35–44",IF(Data[[#This Row],[Age]]&lt;55,"45–54","55+"))))</f>
        <v>Under 25</v>
      </c>
      <c r="H342" t="s">
        <v>31</v>
      </c>
      <c r="I342" t="s">
        <v>18</v>
      </c>
      <c r="J342" t="s">
        <v>37</v>
      </c>
      <c r="K342" s="1">
        <v>40819</v>
      </c>
      <c r="M342" s="1" t="str">
        <f>IF(ISBLANK(Data[[#This Row],[EndDate]]),"Active","InActive")</f>
        <v>Active</v>
      </c>
      <c r="N342" t="s">
        <v>20</v>
      </c>
      <c r="O342" t="s">
        <v>21</v>
      </c>
      <c r="P342" t="s">
        <v>22</v>
      </c>
      <c r="Q342" s="2">
        <v>3339</v>
      </c>
    </row>
    <row r="343" spans="1:17" x14ac:dyDescent="0.2">
      <c r="A343" s="1">
        <v>42705</v>
      </c>
      <c r="B343">
        <v>43738</v>
      </c>
      <c r="C343" t="s">
        <v>80</v>
      </c>
      <c r="D343" t="s">
        <v>50</v>
      </c>
      <c r="E343" t="s">
        <v>51</v>
      </c>
      <c r="F343" s="5">
        <v>21</v>
      </c>
      <c r="G343" t="str">
        <f>IF(Data[[#This Row],[Age]]&lt;25,"Under 25",IF(Data[[#This Row],[Age]]&lt;35,"25–34",IF(Data[[#This Row],[Age]]&lt;45,"35–44",IF(Data[[#This Row],[Age]]&lt;55,"45–54","55+"))))</f>
        <v>Under 25</v>
      </c>
      <c r="H343" t="s">
        <v>31</v>
      </c>
      <c r="I343" t="s">
        <v>18</v>
      </c>
      <c r="J343" t="s">
        <v>37</v>
      </c>
      <c r="K343" s="1">
        <v>40351</v>
      </c>
      <c r="M343" s="1" t="str">
        <f>IF(ISBLANK(Data[[#This Row],[EndDate]]),"Active","InActive")</f>
        <v>Active</v>
      </c>
      <c r="N343" t="s">
        <v>20</v>
      </c>
      <c r="O343" t="s">
        <v>21</v>
      </c>
      <c r="P343" t="s">
        <v>22</v>
      </c>
      <c r="Q343" s="2">
        <v>9481.5</v>
      </c>
    </row>
    <row r="344" spans="1:17" x14ac:dyDescent="0.2">
      <c r="A344" s="1">
        <v>42705</v>
      </c>
      <c r="B344">
        <v>55650</v>
      </c>
      <c r="C344" t="s">
        <v>80</v>
      </c>
      <c r="D344" t="s">
        <v>52</v>
      </c>
      <c r="E344" t="s">
        <v>53</v>
      </c>
      <c r="F344" s="5">
        <v>21</v>
      </c>
      <c r="G344" t="str">
        <f>IF(Data[[#This Row],[Age]]&lt;25,"Under 25",IF(Data[[#This Row],[Age]]&lt;35,"25–34",IF(Data[[#This Row],[Age]]&lt;45,"35–44",IF(Data[[#This Row],[Age]]&lt;55,"45–54","55+"))))</f>
        <v>Under 25</v>
      </c>
      <c r="H344" t="s">
        <v>34</v>
      </c>
      <c r="I344" t="s">
        <v>18</v>
      </c>
      <c r="J344" t="s">
        <v>37</v>
      </c>
      <c r="K344" s="1">
        <v>39717</v>
      </c>
      <c r="M344" s="1" t="str">
        <f>IF(ISBLANK(Data[[#This Row],[EndDate]]),"Active","InActive")</f>
        <v>Active</v>
      </c>
      <c r="N344" t="s">
        <v>20</v>
      </c>
      <c r="O344" t="s">
        <v>21</v>
      </c>
      <c r="P344" t="s">
        <v>22</v>
      </c>
      <c r="Q344" s="2">
        <v>7024.5</v>
      </c>
    </row>
    <row r="345" spans="1:17" x14ac:dyDescent="0.2">
      <c r="A345" s="1">
        <v>42705</v>
      </c>
      <c r="B345">
        <v>108086</v>
      </c>
      <c r="C345" t="s">
        <v>79</v>
      </c>
      <c r="D345" t="s">
        <v>29</v>
      </c>
      <c r="E345" t="s">
        <v>36</v>
      </c>
      <c r="F345" s="5">
        <v>21</v>
      </c>
      <c r="G345" t="str">
        <f>IF(Data[[#This Row],[Age]]&lt;25,"Under 25",IF(Data[[#This Row],[Age]]&lt;35,"25–34",IF(Data[[#This Row],[Age]]&lt;45,"35–44",IF(Data[[#This Row],[Age]]&lt;55,"45–54","55+"))))</f>
        <v>Under 25</v>
      </c>
      <c r="H345" t="s">
        <v>59</v>
      </c>
      <c r="I345" t="s">
        <v>18</v>
      </c>
      <c r="J345" t="s">
        <v>37</v>
      </c>
      <c r="K345" s="1">
        <v>40443</v>
      </c>
      <c r="M345" s="1" t="str">
        <f>IF(ISBLANK(Data[[#This Row],[EndDate]]),"Active","InActive")</f>
        <v>Active</v>
      </c>
      <c r="N345" t="s">
        <v>20</v>
      </c>
      <c r="O345" t="s">
        <v>21</v>
      </c>
      <c r="P345" t="s">
        <v>22</v>
      </c>
      <c r="Q345" s="2">
        <v>6405</v>
      </c>
    </row>
    <row r="346" spans="1:17" x14ac:dyDescent="0.2">
      <c r="A346" s="1">
        <v>43070</v>
      </c>
      <c r="B346">
        <v>1780</v>
      </c>
      <c r="C346" t="s">
        <v>79</v>
      </c>
      <c r="D346" t="s">
        <v>41</v>
      </c>
      <c r="E346" t="s">
        <v>62</v>
      </c>
      <c r="F346" s="5">
        <v>21</v>
      </c>
      <c r="G346" t="str">
        <f>IF(Data[[#This Row],[Age]]&lt;25,"Under 25",IF(Data[[#This Row],[Age]]&lt;35,"25–34",IF(Data[[#This Row],[Age]]&lt;45,"35–44",IF(Data[[#This Row],[Age]]&lt;55,"45–54","55+"))))</f>
        <v>Under 25</v>
      </c>
      <c r="H346" t="s">
        <v>25</v>
      </c>
      <c r="I346" t="s">
        <v>18</v>
      </c>
      <c r="J346" t="s">
        <v>37</v>
      </c>
      <c r="K346" s="1">
        <v>41593</v>
      </c>
      <c r="M346" s="1" t="str">
        <f>IF(ISBLANK(Data[[#This Row],[EndDate]]),"Active","InActive")</f>
        <v>Active</v>
      </c>
      <c r="N346" t="s">
        <v>20</v>
      </c>
      <c r="O346" t="s">
        <v>21</v>
      </c>
      <c r="P346" t="s">
        <v>32</v>
      </c>
      <c r="Q346" s="2">
        <v>6919.5</v>
      </c>
    </row>
    <row r="347" spans="1:17" x14ac:dyDescent="0.2">
      <c r="A347" s="1">
        <v>43070</v>
      </c>
      <c r="B347">
        <v>1958</v>
      </c>
      <c r="C347" t="s">
        <v>80</v>
      </c>
      <c r="D347" t="s">
        <v>29</v>
      </c>
      <c r="E347" t="s">
        <v>33</v>
      </c>
      <c r="F347" s="5">
        <v>21</v>
      </c>
      <c r="G347" t="str">
        <f>IF(Data[[#This Row],[Age]]&lt;25,"Under 25",IF(Data[[#This Row],[Age]]&lt;35,"25–34",IF(Data[[#This Row],[Age]]&lt;45,"35–44",IF(Data[[#This Row],[Age]]&lt;55,"45–54","55+"))))</f>
        <v>Under 25</v>
      </c>
      <c r="H347" t="s">
        <v>46</v>
      </c>
      <c r="I347" t="s">
        <v>18</v>
      </c>
      <c r="J347" t="s">
        <v>37</v>
      </c>
      <c r="K347" s="1">
        <v>41507</v>
      </c>
      <c r="M347" s="1" t="str">
        <f>IF(ISBLANK(Data[[#This Row],[EndDate]]),"Active","InActive")</f>
        <v>Active</v>
      </c>
      <c r="N347" t="s">
        <v>20</v>
      </c>
      <c r="O347" t="s">
        <v>21</v>
      </c>
      <c r="P347" t="s">
        <v>32</v>
      </c>
      <c r="Q347" s="2">
        <v>7108.5</v>
      </c>
    </row>
    <row r="348" spans="1:17" x14ac:dyDescent="0.2">
      <c r="A348" s="1">
        <v>43070</v>
      </c>
      <c r="B348">
        <v>9108</v>
      </c>
      <c r="C348" t="s">
        <v>79</v>
      </c>
      <c r="D348" t="s">
        <v>38</v>
      </c>
      <c r="E348" t="s">
        <v>45</v>
      </c>
      <c r="F348" s="5">
        <v>21</v>
      </c>
      <c r="G348" t="str">
        <f>IF(Data[[#This Row],[Age]]&lt;25,"Under 25",IF(Data[[#This Row],[Age]]&lt;35,"25–34",IF(Data[[#This Row],[Age]]&lt;45,"35–44",IF(Data[[#This Row],[Age]]&lt;55,"45–54","55+"))))</f>
        <v>Under 25</v>
      </c>
      <c r="H348" t="s">
        <v>46</v>
      </c>
      <c r="I348" t="s">
        <v>18</v>
      </c>
      <c r="J348" t="s">
        <v>37</v>
      </c>
      <c r="K348" s="1">
        <v>41592</v>
      </c>
      <c r="M348" s="1" t="str">
        <f>IF(ISBLANK(Data[[#This Row],[EndDate]]),"Active","InActive")</f>
        <v>Active</v>
      </c>
      <c r="N348" t="s">
        <v>20</v>
      </c>
      <c r="O348" t="s">
        <v>21</v>
      </c>
      <c r="P348" t="s">
        <v>32</v>
      </c>
      <c r="Q348" s="2">
        <v>7738.5</v>
      </c>
    </row>
    <row r="349" spans="1:17" x14ac:dyDescent="0.2">
      <c r="A349" s="1">
        <v>43070</v>
      </c>
      <c r="B349">
        <v>27450</v>
      </c>
      <c r="C349" t="s">
        <v>79</v>
      </c>
      <c r="D349" t="s">
        <v>27</v>
      </c>
      <c r="E349" t="s">
        <v>74</v>
      </c>
      <c r="F349" s="5">
        <v>21</v>
      </c>
      <c r="G349" t="str">
        <f>IF(Data[[#This Row],[Age]]&lt;25,"Under 25",IF(Data[[#This Row],[Age]]&lt;35,"25–34",IF(Data[[#This Row],[Age]]&lt;45,"35–44",IF(Data[[#This Row],[Age]]&lt;55,"45–54","55+"))))</f>
        <v>Under 25</v>
      </c>
      <c r="H349" t="s">
        <v>17</v>
      </c>
      <c r="I349" t="s">
        <v>18</v>
      </c>
      <c r="J349" t="s">
        <v>37</v>
      </c>
      <c r="K349" s="1">
        <v>40857</v>
      </c>
      <c r="M349" s="1" t="str">
        <f>IF(ISBLANK(Data[[#This Row],[EndDate]]),"Active","InActive")</f>
        <v>Active</v>
      </c>
      <c r="N349" t="s">
        <v>20</v>
      </c>
      <c r="O349" t="s">
        <v>21</v>
      </c>
      <c r="P349" t="s">
        <v>32</v>
      </c>
      <c r="Q349" s="2">
        <v>10195.5</v>
      </c>
    </row>
    <row r="350" spans="1:17" x14ac:dyDescent="0.2">
      <c r="A350" s="1">
        <v>43070</v>
      </c>
      <c r="B350">
        <v>40478</v>
      </c>
      <c r="C350" t="s">
        <v>80</v>
      </c>
      <c r="D350" t="s">
        <v>27</v>
      </c>
      <c r="E350" t="s">
        <v>28</v>
      </c>
      <c r="F350" s="5">
        <v>21</v>
      </c>
      <c r="G350" t="str">
        <f>IF(Data[[#This Row],[Age]]&lt;25,"Under 25",IF(Data[[#This Row],[Age]]&lt;35,"25–34",IF(Data[[#This Row],[Age]]&lt;45,"35–44",IF(Data[[#This Row],[Age]]&lt;55,"45–54","55+"))))</f>
        <v>Under 25</v>
      </c>
      <c r="H350" t="s">
        <v>59</v>
      </c>
      <c r="I350" t="s">
        <v>18</v>
      </c>
      <c r="J350" t="s">
        <v>37</v>
      </c>
      <c r="K350" s="1">
        <v>40716</v>
      </c>
      <c r="L350" s="1">
        <v>40816</v>
      </c>
      <c r="M350" s="1" t="str">
        <f>IF(ISBLANK(Data[[#This Row],[EndDate]]),"Active","InActive")</f>
        <v>InActive</v>
      </c>
      <c r="N350" t="s">
        <v>20</v>
      </c>
      <c r="O350" t="s">
        <v>21</v>
      </c>
      <c r="P350" t="s">
        <v>32</v>
      </c>
      <c r="Q350" s="2">
        <v>1869</v>
      </c>
    </row>
    <row r="351" spans="1:17" x14ac:dyDescent="0.2">
      <c r="A351" s="1">
        <v>43070</v>
      </c>
      <c r="B351">
        <v>49302</v>
      </c>
      <c r="C351" t="s">
        <v>79</v>
      </c>
      <c r="D351" t="s">
        <v>43</v>
      </c>
      <c r="E351" t="s">
        <v>60</v>
      </c>
      <c r="F351" s="5">
        <v>21</v>
      </c>
      <c r="G351" t="str">
        <f>IF(Data[[#This Row],[Age]]&lt;25,"Under 25",IF(Data[[#This Row],[Age]]&lt;35,"25–34",IF(Data[[#This Row],[Age]]&lt;45,"35–44",IF(Data[[#This Row],[Age]]&lt;55,"45–54","55+"))))</f>
        <v>Under 25</v>
      </c>
      <c r="H351" t="s">
        <v>49</v>
      </c>
      <c r="I351" t="s">
        <v>18</v>
      </c>
      <c r="J351" t="s">
        <v>37</v>
      </c>
      <c r="K351" s="1">
        <v>39429</v>
      </c>
      <c r="M351" s="1" t="str">
        <f>IF(ISBLANK(Data[[#This Row],[EndDate]]),"Active","InActive")</f>
        <v>Active</v>
      </c>
      <c r="N351" t="s">
        <v>20</v>
      </c>
      <c r="O351" t="s">
        <v>21</v>
      </c>
      <c r="P351" t="s">
        <v>32</v>
      </c>
      <c r="Q351" s="2">
        <v>5827.5</v>
      </c>
    </row>
    <row r="352" spans="1:17" x14ac:dyDescent="0.2">
      <c r="A352" s="1">
        <v>43070</v>
      </c>
      <c r="B352">
        <v>54662</v>
      </c>
      <c r="C352" t="s">
        <v>80</v>
      </c>
      <c r="D352" t="s">
        <v>23</v>
      </c>
      <c r="E352" t="s">
        <v>71</v>
      </c>
      <c r="F352" s="5">
        <v>21</v>
      </c>
      <c r="G352" t="str">
        <f>IF(Data[[#This Row],[Age]]&lt;25,"Under 25",IF(Data[[#This Row],[Age]]&lt;35,"25–34",IF(Data[[#This Row],[Age]]&lt;45,"35–44",IF(Data[[#This Row],[Age]]&lt;55,"45–54","55+"))))</f>
        <v>Under 25</v>
      </c>
      <c r="H352" t="s">
        <v>25</v>
      </c>
      <c r="I352" t="s">
        <v>18</v>
      </c>
      <c r="J352" t="s">
        <v>37</v>
      </c>
      <c r="K352" s="1">
        <v>41333</v>
      </c>
      <c r="M352" s="1" t="str">
        <f>IF(ISBLANK(Data[[#This Row],[EndDate]]),"Active","InActive")</f>
        <v>Active</v>
      </c>
      <c r="N352" t="s">
        <v>20</v>
      </c>
      <c r="O352" t="s">
        <v>21</v>
      </c>
      <c r="P352" t="s">
        <v>32</v>
      </c>
      <c r="Q352" s="2">
        <v>10342.5</v>
      </c>
    </row>
    <row r="353" spans="1:17" x14ac:dyDescent="0.2">
      <c r="A353" s="1">
        <v>43435</v>
      </c>
      <c r="B353">
        <v>40418</v>
      </c>
      <c r="C353" t="s">
        <v>80</v>
      </c>
      <c r="D353" t="s">
        <v>15</v>
      </c>
      <c r="E353" t="s">
        <v>58</v>
      </c>
      <c r="F353" s="5">
        <v>21</v>
      </c>
      <c r="G353" t="str">
        <f>IF(Data[[#This Row],[Age]]&lt;25,"Under 25",IF(Data[[#This Row],[Age]]&lt;35,"25–34",IF(Data[[#This Row],[Age]]&lt;45,"35–44",IF(Data[[#This Row],[Age]]&lt;55,"45–54","55+"))))</f>
        <v>Under 25</v>
      </c>
      <c r="H353" t="s">
        <v>31</v>
      </c>
      <c r="I353" t="s">
        <v>18</v>
      </c>
      <c r="J353" t="s">
        <v>37</v>
      </c>
      <c r="K353" s="1">
        <v>41828</v>
      </c>
      <c r="M353" s="1" t="str">
        <f>IF(ISBLANK(Data[[#This Row],[EndDate]]),"Active","InActive")</f>
        <v>Active</v>
      </c>
      <c r="N353" t="s">
        <v>20</v>
      </c>
      <c r="O353" t="s">
        <v>21</v>
      </c>
      <c r="P353" t="s">
        <v>40</v>
      </c>
      <c r="Q353" s="2">
        <v>9691.5</v>
      </c>
    </row>
    <row r="354" spans="1:17" x14ac:dyDescent="0.2">
      <c r="A354" s="1">
        <v>43435</v>
      </c>
      <c r="B354">
        <v>40480</v>
      </c>
      <c r="C354" t="s">
        <v>79</v>
      </c>
      <c r="D354" t="s">
        <v>47</v>
      </c>
      <c r="E354" t="s">
        <v>48</v>
      </c>
      <c r="F354" s="5">
        <v>21</v>
      </c>
      <c r="G354" t="str">
        <f>IF(Data[[#This Row],[Age]]&lt;25,"Under 25",IF(Data[[#This Row],[Age]]&lt;35,"25–34",IF(Data[[#This Row],[Age]]&lt;45,"35–44",IF(Data[[#This Row],[Age]]&lt;55,"45–54","55+"))))</f>
        <v>Under 25</v>
      </c>
      <c r="H354" t="s">
        <v>25</v>
      </c>
      <c r="I354" t="s">
        <v>18</v>
      </c>
      <c r="J354" t="s">
        <v>37</v>
      </c>
      <c r="K354" s="1">
        <v>41894</v>
      </c>
      <c r="M354" s="1" t="str">
        <f>IF(ISBLANK(Data[[#This Row],[EndDate]]),"Active","InActive")</f>
        <v>Active</v>
      </c>
      <c r="N354" t="s">
        <v>20</v>
      </c>
      <c r="O354" t="s">
        <v>21</v>
      </c>
      <c r="P354" t="s">
        <v>40</v>
      </c>
      <c r="Q354" s="2">
        <v>6226.5</v>
      </c>
    </row>
    <row r="355" spans="1:17" x14ac:dyDescent="0.2">
      <c r="A355" s="1">
        <v>43435</v>
      </c>
      <c r="B355">
        <v>40484</v>
      </c>
      <c r="C355" t="s">
        <v>80</v>
      </c>
      <c r="D355" t="s">
        <v>41</v>
      </c>
      <c r="E355" t="s">
        <v>68</v>
      </c>
      <c r="F355" s="5">
        <v>21</v>
      </c>
      <c r="G355" t="str">
        <f>IF(Data[[#This Row],[Age]]&lt;25,"Under 25",IF(Data[[#This Row],[Age]]&lt;35,"25–34",IF(Data[[#This Row],[Age]]&lt;45,"35–44",IF(Data[[#This Row],[Age]]&lt;55,"45–54","55+"))))</f>
        <v>Under 25</v>
      </c>
      <c r="H355" t="s">
        <v>25</v>
      </c>
      <c r="I355" t="s">
        <v>18</v>
      </c>
      <c r="J355" t="s">
        <v>37</v>
      </c>
      <c r="K355" s="1">
        <v>40890</v>
      </c>
      <c r="M355" s="1" t="str">
        <f>IF(ISBLANK(Data[[#This Row],[EndDate]]),"Active","InActive")</f>
        <v>Active</v>
      </c>
      <c r="N355" t="s">
        <v>20</v>
      </c>
      <c r="O355" t="s">
        <v>21</v>
      </c>
      <c r="P355" t="s">
        <v>40</v>
      </c>
      <c r="Q355" s="2">
        <v>6489</v>
      </c>
    </row>
    <row r="356" spans="1:17" x14ac:dyDescent="0.2">
      <c r="A356" s="1">
        <v>43435</v>
      </c>
      <c r="B356">
        <v>40504</v>
      </c>
      <c r="C356" t="s">
        <v>79</v>
      </c>
      <c r="D356" t="s">
        <v>47</v>
      </c>
      <c r="E356" t="s">
        <v>64</v>
      </c>
      <c r="F356" s="5">
        <v>21</v>
      </c>
      <c r="G356" t="str">
        <f>IF(Data[[#This Row],[Age]]&lt;25,"Under 25",IF(Data[[#This Row],[Age]]&lt;35,"25–34",IF(Data[[#This Row],[Age]]&lt;45,"35–44",IF(Data[[#This Row],[Age]]&lt;55,"45–54","55+"))))</f>
        <v>Under 25</v>
      </c>
      <c r="H356" t="s">
        <v>46</v>
      </c>
      <c r="I356" t="s">
        <v>18</v>
      </c>
      <c r="J356" t="s">
        <v>37</v>
      </c>
      <c r="K356" s="1">
        <v>41955</v>
      </c>
      <c r="M356" s="1" t="str">
        <f>IF(ISBLANK(Data[[#This Row],[EndDate]]),"Active","InActive")</f>
        <v>Active</v>
      </c>
      <c r="N356" t="s">
        <v>20</v>
      </c>
      <c r="O356" t="s">
        <v>21</v>
      </c>
      <c r="P356" t="s">
        <v>40</v>
      </c>
      <c r="Q356" s="2">
        <v>7392</v>
      </c>
    </row>
    <row r="357" spans="1:17" x14ac:dyDescent="0.2">
      <c r="A357" s="1">
        <v>43435</v>
      </c>
      <c r="B357">
        <v>40506</v>
      </c>
      <c r="C357" t="s">
        <v>80</v>
      </c>
      <c r="D357" t="s">
        <v>41</v>
      </c>
      <c r="E357" t="s">
        <v>62</v>
      </c>
      <c r="F357" s="5">
        <v>21</v>
      </c>
      <c r="G357" t="str">
        <f>IF(Data[[#This Row],[Age]]&lt;25,"Under 25",IF(Data[[#This Row],[Age]]&lt;35,"25–34",IF(Data[[#This Row],[Age]]&lt;45,"35–44",IF(Data[[#This Row],[Age]]&lt;55,"45–54","55+"))))</f>
        <v>Under 25</v>
      </c>
      <c r="H357" t="s">
        <v>17</v>
      </c>
      <c r="I357" t="s">
        <v>18</v>
      </c>
      <c r="J357" t="s">
        <v>37</v>
      </c>
      <c r="K357" s="1">
        <v>41117</v>
      </c>
      <c r="M357" s="1" t="str">
        <f>IF(ISBLANK(Data[[#This Row],[EndDate]]),"Active","InActive")</f>
        <v>Active</v>
      </c>
      <c r="N357" t="s">
        <v>20</v>
      </c>
      <c r="O357" t="s">
        <v>21</v>
      </c>
      <c r="P357" t="s">
        <v>40</v>
      </c>
      <c r="Q357" s="2">
        <v>9702</v>
      </c>
    </row>
    <row r="358" spans="1:17" x14ac:dyDescent="0.2">
      <c r="A358" s="1">
        <v>43435</v>
      </c>
      <c r="B358">
        <v>40520</v>
      </c>
      <c r="C358" t="s">
        <v>79</v>
      </c>
      <c r="D358" t="s">
        <v>50</v>
      </c>
      <c r="E358" t="s">
        <v>63</v>
      </c>
      <c r="F358" s="5">
        <v>21</v>
      </c>
      <c r="G358" t="str">
        <f>IF(Data[[#This Row],[Age]]&lt;25,"Under 25",IF(Data[[#This Row],[Age]]&lt;35,"25–34",IF(Data[[#This Row],[Age]]&lt;45,"35–44",IF(Data[[#This Row],[Age]]&lt;55,"45–54","55+"))))</f>
        <v>Under 25</v>
      </c>
      <c r="H358" t="s">
        <v>17</v>
      </c>
      <c r="I358" t="s">
        <v>18</v>
      </c>
      <c r="J358" t="s">
        <v>37</v>
      </c>
      <c r="K358" s="1">
        <v>41958</v>
      </c>
      <c r="M358" s="1" t="str">
        <f>IF(ISBLANK(Data[[#This Row],[EndDate]]),"Active","InActive")</f>
        <v>Active</v>
      </c>
      <c r="N358" t="s">
        <v>20</v>
      </c>
      <c r="O358" t="s">
        <v>21</v>
      </c>
      <c r="P358" t="s">
        <v>40</v>
      </c>
      <c r="Q358" s="2">
        <v>3538.5</v>
      </c>
    </row>
    <row r="359" spans="1:17" x14ac:dyDescent="0.2">
      <c r="A359" s="1">
        <v>43435</v>
      </c>
      <c r="B359">
        <v>40684</v>
      </c>
      <c r="C359" t="s">
        <v>80</v>
      </c>
      <c r="D359" t="s">
        <v>27</v>
      </c>
      <c r="E359" t="s">
        <v>72</v>
      </c>
      <c r="F359" s="5">
        <v>21</v>
      </c>
      <c r="G359" t="str">
        <f>IF(Data[[#This Row],[Age]]&lt;25,"Under 25",IF(Data[[#This Row],[Age]]&lt;35,"25–34",IF(Data[[#This Row],[Age]]&lt;45,"35–44",IF(Data[[#This Row],[Age]]&lt;55,"45–54","55+"))))</f>
        <v>Under 25</v>
      </c>
      <c r="H359" t="s">
        <v>25</v>
      </c>
      <c r="I359" t="s">
        <v>18</v>
      </c>
      <c r="J359" t="s">
        <v>37</v>
      </c>
      <c r="K359" s="1">
        <v>41900</v>
      </c>
      <c r="M359" s="1" t="str">
        <f>IF(ISBLANK(Data[[#This Row],[EndDate]]),"Active","InActive")</f>
        <v>Active</v>
      </c>
      <c r="N359" t="s">
        <v>20</v>
      </c>
      <c r="O359" t="s">
        <v>21</v>
      </c>
      <c r="P359" t="s">
        <v>40</v>
      </c>
      <c r="Q359" s="2">
        <v>10143</v>
      </c>
    </row>
    <row r="360" spans="1:17" x14ac:dyDescent="0.2">
      <c r="A360" s="1">
        <v>43435</v>
      </c>
      <c r="B360">
        <v>40698</v>
      </c>
      <c r="C360" t="s">
        <v>80</v>
      </c>
      <c r="D360" t="s">
        <v>52</v>
      </c>
      <c r="E360" t="s">
        <v>53</v>
      </c>
      <c r="F360" s="5">
        <v>21</v>
      </c>
      <c r="G360" t="str">
        <f>IF(Data[[#This Row],[Age]]&lt;25,"Under 25",IF(Data[[#This Row],[Age]]&lt;35,"25–34",IF(Data[[#This Row],[Age]]&lt;45,"35–44",IF(Data[[#This Row],[Age]]&lt;55,"45–54","55+"))))</f>
        <v>Under 25</v>
      </c>
      <c r="H360" t="s">
        <v>59</v>
      </c>
      <c r="I360" t="s">
        <v>18</v>
      </c>
      <c r="J360" t="s">
        <v>37</v>
      </c>
      <c r="K360" s="1">
        <v>41963</v>
      </c>
      <c r="M360" s="1" t="str">
        <f>IF(ISBLANK(Data[[#This Row],[EndDate]]),"Active","InActive")</f>
        <v>Active</v>
      </c>
      <c r="N360" t="s">
        <v>20</v>
      </c>
      <c r="O360" t="s">
        <v>21</v>
      </c>
      <c r="P360" t="s">
        <v>40</v>
      </c>
      <c r="Q360" s="2">
        <v>5953.5</v>
      </c>
    </row>
    <row r="361" spans="1:17" x14ac:dyDescent="0.2">
      <c r="A361" s="1">
        <v>43435</v>
      </c>
      <c r="B361">
        <v>40702</v>
      </c>
      <c r="C361" t="s">
        <v>79</v>
      </c>
      <c r="D361" t="s">
        <v>50</v>
      </c>
      <c r="E361" t="s">
        <v>55</v>
      </c>
      <c r="F361" s="5">
        <v>21</v>
      </c>
      <c r="G361" t="str">
        <f>IF(Data[[#This Row],[Age]]&lt;25,"Under 25",IF(Data[[#This Row],[Age]]&lt;35,"25–34",IF(Data[[#This Row],[Age]]&lt;45,"35–44",IF(Data[[#This Row],[Age]]&lt;55,"45–54","55+"))))</f>
        <v>Under 25</v>
      </c>
      <c r="H361" t="s">
        <v>31</v>
      </c>
      <c r="I361" t="s">
        <v>18</v>
      </c>
      <c r="J361" t="s">
        <v>37</v>
      </c>
      <c r="K361" s="1">
        <v>41892</v>
      </c>
      <c r="M361" s="1" t="str">
        <f>IF(ISBLANK(Data[[#This Row],[EndDate]]),"Active","InActive")</f>
        <v>Active</v>
      </c>
      <c r="N361" t="s">
        <v>20</v>
      </c>
      <c r="O361" t="s">
        <v>21</v>
      </c>
      <c r="P361" t="s">
        <v>40</v>
      </c>
      <c r="Q361" s="2">
        <v>8568</v>
      </c>
    </row>
    <row r="362" spans="1:17" x14ac:dyDescent="0.2">
      <c r="A362" s="1">
        <v>43435</v>
      </c>
      <c r="B362">
        <v>43388</v>
      </c>
      <c r="C362" t="s">
        <v>79</v>
      </c>
      <c r="D362" t="s">
        <v>23</v>
      </c>
      <c r="E362" t="s">
        <v>71</v>
      </c>
      <c r="F362" s="5">
        <v>21</v>
      </c>
      <c r="G362" t="str">
        <f>IF(Data[[#This Row],[Age]]&lt;25,"Under 25",IF(Data[[#This Row],[Age]]&lt;35,"25–34",IF(Data[[#This Row],[Age]]&lt;45,"35–44",IF(Data[[#This Row],[Age]]&lt;55,"45–54","55+"))))</f>
        <v>Under 25</v>
      </c>
      <c r="H362" t="s">
        <v>31</v>
      </c>
      <c r="I362" t="s">
        <v>18</v>
      </c>
      <c r="J362" t="s">
        <v>37</v>
      </c>
      <c r="K362" s="1">
        <v>41797</v>
      </c>
      <c r="M362" s="1" t="str">
        <f>IF(ISBLANK(Data[[#This Row],[EndDate]]),"Active","InActive")</f>
        <v>Active</v>
      </c>
      <c r="N362" t="s">
        <v>20</v>
      </c>
      <c r="O362" t="s">
        <v>21</v>
      </c>
      <c r="P362" t="s">
        <v>40</v>
      </c>
      <c r="Q362" s="2">
        <v>5271</v>
      </c>
    </row>
    <row r="363" spans="1:17" x14ac:dyDescent="0.2">
      <c r="A363" s="1">
        <v>43435</v>
      </c>
      <c r="B363">
        <v>43400</v>
      </c>
      <c r="C363" t="s">
        <v>79</v>
      </c>
      <c r="D363" t="s">
        <v>47</v>
      </c>
      <c r="E363" t="s">
        <v>73</v>
      </c>
      <c r="F363" s="5">
        <v>21</v>
      </c>
      <c r="G363" t="str">
        <f>IF(Data[[#This Row],[Age]]&lt;25,"Under 25",IF(Data[[#This Row],[Age]]&lt;35,"25–34",IF(Data[[#This Row],[Age]]&lt;45,"35–44",IF(Data[[#This Row],[Age]]&lt;55,"45–54","55+"))))</f>
        <v>Under 25</v>
      </c>
      <c r="H363" t="s">
        <v>17</v>
      </c>
      <c r="I363" t="s">
        <v>18</v>
      </c>
      <c r="J363" t="s">
        <v>37</v>
      </c>
      <c r="K363" s="1">
        <v>41962</v>
      </c>
      <c r="M363" s="1" t="str">
        <f>IF(ISBLANK(Data[[#This Row],[EndDate]]),"Active","InActive")</f>
        <v>Active</v>
      </c>
      <c r="N363" t="s">
        <v>20</v>
      </c>
      <c r="O363" t="s">
        <v>21</v>
      </c>
      <c r="P363" t="s">
        <v>40</v>
      </c>
      <c r="Q363" s="2">
        <v>1312.5</v>
      </c>
    </row>
    <row r="364" spans="1:17" x14ac:dyDescent="0.2">
      <c r="A364" s="1">
        <v>43435</v>
      </c>
      <c r="B364">
        <v>43408</v>
      </c>
      <c r="C364" t="s">
        <v>79</v>
      </c>
      <c r="D364" t="s">
        <v>41</v>
      </c>
      <c r="E364" t="s">
        <v>68</v>
      </c>
      <c r="F364" s="5">
        <v>21</v>
      </c>
      <c r="G364" t="str">
        <f>IF(Data[[#This Row],[Age]]&lt;25,"Under 25",IF(Data[[#This Row],[Age]]&lt;35,"25–34",IF(Data[[#This Row],[Age]]&lt;45,"35–44",IF(Data[[#This Row],[Age]]&lt;55,"45–54","55+"))))</f>
        <v>Under 25</v>
      </c>
      <c r="H364" t="s">
        <v>49</v>
      </c>
      <c r="I364" t="s">
        <v>18</v>
      </c>
      <c r="J364" t="s">
        <v>37</v>
      </c>
      <c r="K364" s="1">
        <v>41864</v>
      </c>
      <c r="M364" s="1" t="str">
        <f>IF(ISBLANK(Data[[#This Row],[EndDate]]),"Active","InActive")</f>
        <v>Active</v>
      </c>
      <c r="N364" t="s">
        <v>20</v>
      </c>
      <c r="O364" t="s">
        <v>21</v>
      </c>
      <c r="P364" t="s">
        <v>40</v>
      </c>
      <c r="Q364" s="2">
        <v>6132</v>
      </c>
    </row>
    <row r="365" spans="1:17" x14ac:dyDescent="0.2">
      <c r="A365" s="1">
        <v>43435</v>
      </c>
      <c r="B365">
        <v>43584</v>
      </c>
      <c r="C365" t="s">
        <v>80</v>
      </c>
      <c r="D365" t="s">
        <v>50</v>
      </c>
      <c r="E365" t="s">
        <v>63</v>
      </c>
      <c r="F365" s="5">
        <v>21</v>
      </c>
      <c r="G365" t="str">
        <f>IF(Data[[#This Row],[Age]]&lt;25,"Under 25",IF(Data[[#This Row],[Age]]&lt;35,"25–34",IF(Data[[#This Row],[Age]]&lt;45,"35–44",IF(Data[[#This Row],[Age]]&lt;55,"45–54","55+"))))</f>
        <v>Under 25</v>
      </c>
      <c r="H365" t="s">
        <v>17</v>
      </c>
      <c r="I365" t="s">
        <v>18</v>
      </c>
      <c r="J365" t="s">
        <v>37</v>
      </c>
      <c r="K365" s="1">
        <v>41822</v>
      </c>
      <c r="M365" s="1" t="str">
        <f>IF(ISBLANK(Data[[#This Row],[EndDate]]),"Active","InActive")</f>
        <v>Active</v>
      </c>
      <c r="N365" t="s">
        <v>20</v>
      </c>
      <c r="O365" t="s">
        <v>21</v>
      </c>
      <c r="P365" t="s">
        <v>40</v>
      </c>
      <c r="Q365" s="2">
        <v>1701</v>
      </c>
    </row>
    <row r="366" spans="1:17" x14ac:dyDescent="0.2">
      <c r="A366" s="1">
        <v>43435</v>
      </c>
      <c r="B366">
        <v>52960</v>
      </c>
      <c r="C366" t="s">
        <v>80</v>
      </c>
      <c r="D366" t="s">
        <v>41</v>
      </c>
      <c r="E366" t="s">
        <v>62</v>
      </c>
      <c r="F366" s="5">
        <v>21</v>
      </c>
      <c r="G366" t="str">
        <f>IF(Data[[#This Row],[Age]]&lt;25,"Under 25",IF(Data[[#This Row],[Age]]&lt;35,"25–34",IF(Data[[#This Row],[Age]]&lt;45,"35–44",IF(Data[[#This Row],[Age]]&lt;55,"45–54","55+"))))</f>
        <v>Under 25</v>
      </c>
      <c r="H366" t="s">
        <v>17</v>
      </c>
      <c r="I366" t="s">
        <v>18</v>
      </c>
      <c r="J366" t="s">
        <v>37</v>
      </c>
      <c r="K366" s="1">
        <v>41930</v>
      </c>
      <c r="M366" s="1" t="str">
        <f>IF(ISBLANK(Data[[#This Row],[EndDate]]),"Active","InActive")</f>
        <v>Active</v>
      </c>
      <c r="N366" t="s">
        <v>20</v>
      </c>
      <c r="O366" t="s">
        <v>21</v>
      </c>
      <c r="P366" t="s">
        <v>40</v>
      </c>
      <c r="Q366" s="2">
        <v>9324</v>
      </c>
    </row>
    <row r="367" spans="1:17" x14ac:dyDescent="0.2">
      <c r="A367" s="1">
        <v>42705</v>
      </c>
      <c r="B367">
        <v>5052</v>
      </c>
      <c r="C367" t="s">
        <v>79</v>
      </c>
      <c r="D367" t="s">
        <v>38</v>
      </c>
      <c r="E367" t="s">
        <v>61</v>
      </c>
      <c r="F367" s="5">
        <v>21</v>
      </c>
      <c r="G367" t="str">
        <f>IF(Data[[#This Row],[Age]]&lt;25,"Under 25",IF(Data[[#This Row],[Age]]&lt;35,"25–34",IF(Data[[#This Row],[Age]]&lt;45,"35–44",IF(Data[[#This Row],[Age]]&lt;55,"45–54","55+"))))</f>
        <v>Under 25</v>
      </c>
      <c r="H367" t="s">
        <v>59</v>
      </c>
      <c r="I367" t="s">
        <v>18</v>
      </c>
      <c r="J367" t="s">
        <v>35</v>
      </c>
      <c r="K367" s="1">
        <v>40696</v>
      </c>
      <c r="M367" s="1" t="str">
        <f>IF(ISBLANK(Data[[#This Row],[EndDate]]),"Active","InActive")</f>
        <v>Active</v>
      </c>
      <c r="N367" t="s">
        <v>20</v>
      </c>
      <c r="O367" t="s">
        <v>21</v>
      </c>
      <c r="P367" t="s">
        <v>22</v>
      </c>
      <c r="Q367" s="2">
        <v>10195.5</v>
      </c>
    </row>
    <row r="368" spans="1:17" x14ac:dyDescent="0.2">
      <c r="A368" s="1">
        <v>42705</v>
      </c>
      <c r="B368">
        <v>43128</v>
      </c>
      <c r="C368" t="s">
        <v>80</v>
      </c>
      <c r="D368" t="s">
        <v>47</v>
      </c>
      <c r="E368" t="s">
        <v>48</v>
      </c>
      <c r="F368" s="5">
        <v>21</v>
      </c>
      <c r="G368" t="str">
        <f>IF(Data[[#This Row],[Age]]&lt;25,"Under 25",IF(Data[[#This Row],[Age]]&lt;35,"25–34",IF(Data[[#This Row],[Age]]&lt;45,"35–44",IF(Data[[#This Row],[Age]]&lt;55,"45–54","55+"))))</f>
        <v>Under 25</v>
      </c>
      <c r="H368" t="s">
        <v>46</v>
      </c>
      <c r="I368" t="s">
        <v>18</v>
      </c>
      <c r="J368" t="s">
        <v>35</v>
      </c>
      <c r="K368" s="1">
        <v>40964</v>
      </c>
      <c r="M368" s="1" t="str">
        <f>IF(ISBLANK(Data[[#This Row],[EndDate]]),"Active","InActive")</f>
        <v>Active</v>
      </c>
      <c r="N368" t="s">
        <v>20</v>
      </c>
      <c r="O368" t="s">
        <v>21</v>
      </c>
      <c r="P368" t="s">
        <v>22</v>
      </c>
      <c r="Q368" s="2">
        <v>4357.5</v>
      </c>
    </row>
    <row r="369" spans="1:17" x14ac:dyDescent="0.2">
      <c r="A369" s="1">
        <v>42705</v>
      </c>
      <c r="B369">
        <v>101002</v>
      </c>
      <c r="C369" t="s">
        <v>79</v>
      </c>
      <c r="D369" t="s">
        <v>47</v>
      </c>
      <c r="E369" t="s">
        <v>48</v>
      </c>
      <c r="F369" s="5">
        <v>21</v>
      </c>
      <c r="G369" t="str">
        <f>IF(Data[[#This Row],[Age]]&lt;25,"Under 25",IF(Data[[#This Row],[Age]]&lt;35,"25–34",IF(Data[[#This Row],[Age]]&lt;45,"35–44",IF(Data[[#This Row],[Age]]&lt;55,"45–54","55+"))))</f>
        <v>Under 25</v>
      </c>
      <c r="H369" t="s">
        <v>25</v>
      </c>
      <c r="I369" t="s">
        <v>18</v>
      </c>
      <c r="J369" t="s">
        <v>35</v>
      </c>
      <c r="K369" s="1">
        <v>40681</v>
      </c>
      <c r="L369" s="1">
        <v>40716</v>
      </c>
      <c r="M369" s="1" t="str">
        <f>IF(ISBLANK(Data[[#This Row],[EndDate]]),"Active","InActive")</f>
        <v>InActive</v>
      </c>
      <c r="N369" t="s">
        <v>20</v>
      </c>
      <c r="O369" t="s">
        <v>21</v>
      </c>
      <c r="P369" t="s">
        <v>22</v>
      </c>
      <c r="Q369" s="2">
        <v>8883</v>
      </c>
    </row>
    <row r="370" spans="1:17" x14ac:dyDescent="0.2">
      <c r="A370" s="1">
        <v>42705</v>
      </c>
      <c r="B370">
        <v>103876</v>
      </c>
      <c r="C370" t="s">
        <v>80</v>
      </c>
      <c r="D370" t="s">
        <v>23</v>
      </c>
      <c r="E370" t="s">
        <v>24</v>
      </c>
      <c r="F370" s="5">
        <v>21</v>
      </c>
      <c r="G370" t="str">
        <f>IF(Data[[#This Row],[Age]]&lt;25,"Under 25",IF(Data[[#This Row],[Age]]&lt;35,"25–34",IF(Data[[#This Row],[Age]]&lt;45,"35–44",IF(Data[[#This Row],[Age]]&lt;55,"45–54","55+"))))</f>
        <v>Under 25</v>
      </c>
      <c r="H370" t="s">
        <v>34</v>
      </c>
      <c r="I370" t="s">
        <v>18</v>
      </c>
      <c r="J370" t="s">
        <v>35</v>
      </c>
      <c r="K370" s="1">
        <v>41033</v>
      </c>
      <c r="M370" s="1" t="str">
        <f>IF(ISBLANK(Data[[#This Row],[EndDate]]),"Active","InActive")</f>
        <v>Active</v>
      </c>
      <c r="N370" t="s">
        <v>20</v>
      </c>
      <c r="O370" t="s">
        <v>21</v>
      </c>
      <c r="P370" t="s">
        <v>22</v>
      </c>
      <c r="Q370" s="2">
        <v>8400</v>
      </c>
    </row>
    <row r="371" spans="1:17" x14ac:dyDescent="0.2">
      <c r="A371" s="1">
        <v>42705</v>
      </c>
      <c r="B371">
        <v>104636</v>
      </c>
      <c r="C371" t="s">
        <v>79</v>
      </c>
      <c r="D371" t="s">
        <v>38</v>
      </c>
      <c r="E371" t="s">
        <v>45</v>
      </c>
      <c r="F371" s="5">
        <v>21</v>
      </c>
      <c r="G371" t="str">
        <f>IF(Data[[#This Row],[Age]]&lt;25,"Under 25",IF(Data[[#This Row],[Age]]&lt;35,"25–34",IF(Data[[#This Row],[Age]]&lt;45,"35–44",IF(Data[[#This Row],[Age]]&lt;55,"45–54","55+"))))</f>
        <v>Under 25</v>
      </c>
      <c r="H371" t="s">
        <v>31</v>
      </c>
      <c r="I371" t="s">
        <v>18</v>
      </c>
      <c r="J371" t="s">
        <v>35</v>
      </c>
      <c r="K371" s="1">
        <v>40737</v>
      </c>
      <c r="M371" s="1" t="str">
        <f>IF(ISBLANK(Data[[#This Row],[EndDate]]),"Active","InActive")</f>
        <v>Active</v>
      </c>
      <c r="N371" t="s">
        <v>20</v>
      </c>
      <c r="O371" t="s">
        <v>21</v>
      </c>
      <c r="P371" t="s">
        <v>22</v>
      </c>
      <c r="Q371" s="2">
        <v>5827.5</v>
      </c>
    </row>
    <row r="372" spans="1:17" x14ac:dyDescent="0.2">
      <c r="A372" s="1">
        <v>42705</v>
      </c>
      <c r="B372">
        <v>109154</v>
      </c>
      <c r="C372" t="s">
        <v>79</v>
      </c>
      <c r="D372" t="s">
        <v>27</v>
      </c>
      <c r="E372" t="s">
        <v>72</v>
      </c>
      <c r="F372" s="5">
        <v>21</v>
      </c>
      <c r="G372" t="str">
        <f>IF(Data[[#This Row],[Age]]&lt;25,"Under 25",IF(Data[[#This Row],[Age]]&lt;35,"25–34",IF(Data[[#This Row],[Age]]&lt;45,"35–44",IF(Data[[#This Row],[Age]]&lt;55,"45–54","55+"))))</f>
        <v>Under 25</v>
      </c>
      <c r="H372" t="s">
        <v>59</v>
      </c>
      <c r="I372" t="s">
        <v>18</v>
      </c>
      <c r="J372" t="s">
        <v>35</v>
      </c>
      <c r="K372" s="1">
        <v>41125</v>
      </c>
      <c r="M372" s="1" t="str">
        <f>IF(ISBLANK(Data[[#This Row],[EndDate]]),"Active","InActive")</f>
        <v>Active</v>
      </c>
      <c r="N372" t="s">
        <v>20</v>
      </c>
      <c r="O372" t="s">
        <v>21</v>
      </c>
      <c r="P372" t="s">
        <v>22</v>
      </c>
      <c r="Q372" s="2">
        <v>4630.5</v>
      </c>
    </row>
    <row r="373" spans="1:17" x14ac:dyDescent="0.2">
      <c r="A373" s="1">
        <v>42705</v>
      </c>
      <c r="B373">
        <v>112594</v>
      </c>
      <c r="C373" t="s">
        <v>79</v>
      </c>
      <c r="D373" t="s">
        <v>52</v>
      </c>
      <c r="E373" t="s">
        <v>69</v>
      </c>
      <c r="F373" s="5">
        <v>21</v>
      </c>
      <c r="G373" t="str">
        <f>IF(Data[[#This Row],[Age]]&lt;25,"Under 25",IF(Data[[#This Row],[Age]]&lt;35,"25–34",IF(Data[[#This Row],[Age]]&lt;45,"35–44",IF(Data[[#This Row],[Age]]&lt;55,"45–54","55+"))))</f>
        <v>Under 25</v>
      </c>
      <c r="H373" t="s">
        <v>17</v>
      </c>
      <c r="I373" t="s">
        <v>18</v>
      </c>
      <c r="J373" t="s">
        <v>35</v>
      </c>
      <c r="K373" s="1">
        <v>40744</v>
      </c>
      <c r="M373" s="1" t="str">
        <f>IF(ISBLANK(Data[[#This Row],[EndDate]]),"Active","InActive")</f>
        <v>Active</v>
      </c>
      <c r="N373" t="s">
        <v>20</v>
      </c>
      <c r="O373" t="s">
        <v>21</v>
      </c>
      <c r="P373" t="s">
        <v>22</v>
      </c>
      <c r="Q373" s="2">
        <v>7780.5</v>
      </c>
    </row>
    <row r="374" spans="1:17" x14ac:dyDescent="0.2">
      <c r="A374" s="1">
        <v>42705</v>
      </c>
      <c r="B374">
        <v>114590</v>
      </c>
      <c r="C374" t="s">
        <v>79</v>
      </c>
      <c r="D374" t="s">
        <v>23</v>
      </c>
      <c r="E374" t="s">
        <v>24</v>
      </c>
      <c r="F374" s="5">
        <v>21</v>
      </c>
      <c r="G374" t="str">
        <f>IF(Data[[#This Row],[Age]]&lt;25,"Under 25",IF(Data[[#This Row],[Age]]&lt;35,"25–34",IF(Data[[#This Row],[Age]]&lt;45,"35–44",IF(Data[[#This Row],[Age]]&lt;55,"45–54","55+"))))</f>
        <v>Under 25</v>
      </c>
      <c r="H374" t="s">
        <v>31</v>
      </c>
      <c r="I374" t="s">
        <v>18</v>
      </c>
      <c r="J374" t="s">
        <v>35</v>
      </c>
      <c r="K374" s="1">
        <v>41222</v>
      </c>
      <c r="M374" s="1" t="str">
        <f>IF(ISBLANK(Data[[#This Row],[EndDate]]),"Active","InActive")</f>
        <v>Active</v>
      </c>
      <c r="N374" t="s">
        <v>20</v>
      </c>
      <c r="O374" t="s">
        <v>21</v>
      </c>
      <c r="P374" t="s">
        <v>22</v>
      </c>
      <c r="Q374" s="2">
        <v>9408</v>
      </c>
    </row>
    <row r="375" spans="1:17" x14ac:dyDescent="0.2">
      <c r="A375" s="1">
        <v>42705</v>
      </c>
      <c r="B375">
        <v>116996</v>
      </c>
      <c r="C375" t="s">
        <v>79</v>
      </c>
      <c r="D375" t="s">
        <v>27</v>
      </c>
      <c r="E375" t="s">
        <v>74</v>
      </c>
      <c r="F375" s="5">
        <v>21</v>
      </c>
      <c r="G375" t="str">
        <f>IF(Data[[#This Row],[Age]]&lt;25,"Under 25",IF(Data[[#This Row],[Age]]&lt;35,"25–34",IF(Data[[#This Row],[Age]]&lt;45,"35–44",IF(Data[[#This Row],[Age]]&lt;55,"45–54","55+"))))</f>
        <v>Under 25</v>
      </c>
      <c r="H375" t="s">
        <v>49</v>
      </c>
      <c r="I375" t="s">
        <v>18</v>
      </c>
      <c r="J375" t="s">
        <v>35</v>
      </c>
      <c r="K375" s="1">
        <v>40709</v>
      </c>
      <c r="M375" s="1" t="str">
        <f>IF(ISBLANK(Data[[#This Row],[EndDate]]),"Active","InActive")</f>
        <v>Active</v>
      </c>
      <c r="N375" t="s">
        <v>20</v>
      </c>
      <c r="O375" t="s">
        <v>21</v>
      </c>
      <c r="P375" t="s">
        <v>22</v>
      </c>
      <c r="Q375" s="2">
        <v>7938</v>
      </c>
    </row>
    <row r="376" spans="1:17" x14ac:dyDescent="0.2">
      <c r="A376" s="1">
        <v>43070</v>
      </c>
      <c r="B376">
        <v>10970</v>
      </c>
      <c r="C376" t="s">
        <v>79</v>
      </c>
      <c r="D376" t="s">
        <v>50</v>
      </c>
      <c r="E376" t="s">
        <v>63</v>
      </c>
      <c r="F376" s="5">
        <v>21</v>
      </c>
      <c r="G376" t="str">
        <f>IF(Data[[#This Row],[Age]]&lt;25,"Under 25",IF(Data[[#This Row],[Age]]&lt;35,"25–34",IF(Data[[#This Row],[Age]]&lt;45,"35–44",IF(Data[[#This Row],[Age]]&lt;55,"45–54","55+"))))</f>
        <v>Under 25</v>
      </c>
      <c r="H376" t="s">
        <v>34</v>
      </c>
      <c r="I376" t="s">
        <v>18</v>
      </c>
      <c r="J376" t="s">
        <v>35</v>
      </c>
      <c r="K376" s="1">
        <v>41494</v>
      </c>
      <c r="M376" s="1" t="str">
        <f>IF(ISBLANK(Data[[#This Row],[EndDate]]),"Active","InActive")</f>
        <v>Active</v>
      </c>
      <c r="N376" t="s">
        <v>20</v>
      </c>
      <c r="O376" t="s">
        <v>21</v>
      </c>
      <c r="P376" t="s">
        <v>32</v>
      </c>
      <c r="Q376" s="2">
        <v>3244.5</v>
      </c>
    </row>
    <row r="377" spans="1:17" x14ac:dyDescent="0.2">
      <c r="A377" s="1">
        <v>43070</v>
      </c>
      <c r="B377">
        <v>10980</v>
      </c>
      <c r="C377" t="s">
        <v>80</v>
      </c>
      <c r="D377" t="s">
        <v>23</v>
      </c>
      <c r="E377" t="s">
        <v>71</v>
      </c>
      <c r="F377" s="5">
        <v>21</v>
      </c>
      <c r="G377" t="str">
        <f>IF(Data[[#This Row],[Age]]&lt;25,"Under 25",IF(Data[[#This Row],[Age]]&lt;35,"25–34",IF(Data[[#This Row],[Age]]&lt;45,"35–44",IF(Data[[#This Row],[Age]]&lt;55,"45–54","55+"))))</f>
        <v>Under 25</v>
      </c>
      <c r="H377" t="s">
        <v>31</v>
      </c>
      <c r="I377" t="s">
        <v>18</v>
      </c>
      <c r="J377" t="s">
        <v>35</v>
      </c>
      <c r="K377" s="1">
        <v>41467</v>
      </c>
      <c r="M377" s="1" t="str">
        <f>IF(ISBLANK(Data[[#This Row],[EndDate]]),"Active","InActive")</f>
        <v>Active</v>
      </c>
      <c r="N377" t="s">
        <v>20</v>
      </c>
      <c r="O377" t="s">
        <v>21</v>
      </c>
      <c r="P377" t="s">
        <v>32</v>
      </c>
      <c r="Q377" s="2">
        <v>2730</v>
      </c>
    </row>
    <row r="378" spans="1:17" x14ac:dyDescent="0.2">
      <c r="A378" s="1">
        <v>43070</v>
      </c>
      <c r="B378">
        <v>43336</v>
      </c>
      <c r="C378" t="s">
        <v>80</v>
      </c>
      <c r="D378" t="s">
        <v>15</v>
      </c>
      <c r="E378" t="s">
        <v>16</v>
      </c>
      <c r="F378" s="5">
        <v>21</v>
      </c>
      <c r="G378" t="str">
        <f>IF(Data[[#This Row],[Age]]&lt;25,"Under 25",IF(Data[[#This Row],[Age]]&lt;35,"25–34",IF(Data[[#This Row],[Age]]&lt;45,"35–44",IF(Data[[#This Row],[Age]]&lt;55,"45–54","55+"))))</f>
        <v>Under 25</v>
      </c>
      <c r="H378" t="s">
        <v>34</v>
      </c>
      <c r="I378" t="s">
        <v>18</v>
      </c>
      <c r="J378" t="s">
        <v>35</v>
      </c>
      <c r="K378" s="1">
        <v>40999</v>
      </c>
      <c r="M378" s="1" t="str">
        <f>IF(ISBLANK(Data[[#This Row],[EndDate]]),"Active","InActive")</f>
        <v>Active</v>
      </c>
      <c r="N378" t="s">
        <v>20</v>
      </c>
      <c r="O378" t="s">
        <v>21</v>
      </c>
      <c r="P378" t="s">
        <v>32</v>
      </c>
      <c r="Q378" s="2">
        <v>2310</v>
      </c>
    </row>
    <row r="379" spans="1:17" x14ac:dyDescent="0.2">
      <c r="A379" s="1">
        <v>43070</v>
      </c>
      <c r="B379">
        <v>53290</v>
      </c>
      <c r="C379" t="s">
        <v>79</v>
      </c>
      <c r="D379" t="s">
        <v>27</v>
      </c>
      <c r="E379" t="s">
        <v>74</v>
      </c>
      <c r="F379" s="5">
        <v>21</v>
      </c>
      <c r="G379" t="str">
        <f>IF(Data[[#This Row],[Age]]&lt;25,"Under 25",IF(Data[[#This Row],[Age]]&lt;35,"25–34",IF(Data[[#This Row],[Age]]&lt;45,"35–44",IF(Data[[#This Row],[Age]]&lt;55,"45–54","55+"))))</f>
        <v>Under 25</v>
      </c>
      <c r="H379" t="s">
        <v>17</v>
      </c>
      <c r="I379" t="s">
        <v>18</v>
      </c>
      <c r="J379" t="s">
        <v>35</v>
      </c>
      <c r="K379" s="1">
        <v>41136</v>
      </c>
      <c r="M379" s="1" t="str">
        <f>IF(ISBLANK(Data[[#This Row],[EndDate]]),"Active","InActive")</f>
        <v>Active</v>
      </c>
      <c r="N379" t="s">
        <v>20</v>
      </c>
      <c r="O379" t="s">
        <v>21</v>
      </c>
      <c r="P379" t="s">
        <v>32</v>
      </c>
      <c r="Q379" s="2">
        <v>4116</v>
      </c>
    </row>
    <row r="380" spans="1:17" x14ac:dyDescent="0.2">
      <c r="A380" s="1">
        <v>43070</v>
      </c>
      <c r="B380">
        <v>54556</v>
      </c>
      <c r="C380" t="s">
        <v>80</v>
      </c>
      <c r="D380" t="s">
        <v>23</v>
      </c>
      <c r="E380" t="s">
        <v>65</v>
      </c>
      <c r="F380" s="5">
        <v>21</v>
      </c>
      <c r="G380" t="str">
        <f>IF(Data[[#This Row],[Age]]&lt;25,"Under 25",IF(Data[[#This Row],[Age]]&lt;35,"25–34",IF(Data[[#This Row],[Age]]&lt;45,"35–44",IF(Data[[#This Row],[Age]]&lt;55,"45–54","55+"))))</f>
        <v>Under 25</v>
      </c>
      <c r="H380" t="s">
        <v>25</v>
      </c>
      <c r="I380" t="s">
        <v>18</v>
      </c>
      <c r="J380" t="s">
        <v>35</v>
      </c>
      <c r="K380" s="1">
        <v>40970</v>
      </c>
      <c r="M380" s="1" t="str">
        <f>IF(ISBLANK(Data[[#This Row],[EndDate]]),"Active","InActive")</f>
        <v>Active</v>
      </c>
      <c r="N380" t="s">
        <v>20</v>
      </c>
      <c r="O380" t="s">
        <v>21</v>
      </c>
      <c r="P380" t="s">
        <v>32</v>
      </c>
      <c r="Q380" s="2">
        <v>8578.5</v>
      </c>
    </row>
    <row r="381" spans="1:17" x14ac:dyDescent="0.2">
      <c r="A381" s="1">
        <v>43435</v>
      </c>
      <c r="B381">
        <v>41416</v>
      </c>
      <c r="C381" t="s">
        <v>80</v>
      </c>
      <c r="D381" t="s">
        <v>23</v>
      </c>
      <c r="E381" t="s">
        <v>24</v>
      </c>
      <c r="F381" s="5">
        <v>21</v>
      </c>
      <c r="G381" t="str">
        <f>IF(Data[[#This Row],[Age]]&lt;25,"Under 25",IF(Data[[#This Row],[Age]]&lt;35,"25–34",IF(Data[[#This Row],[Age]]&lt;45,"35–44",IF(Data[[#This Row],[Age]]&lt;55,"45–54","55+"))))</f>
        <v>Under 25</v>
      </c>
      <c r="H381" t="s">
        <v>59</v>
      </c>
      <c r="I381" t="s">
        <v>18</v>
      </c>
      <c r="J381" t="s">
        <v>35</v>
      </c>
      <c r="K381" s="1">
        <v>41514</v>
      </c>
      <c r="M381" s="1" t="str">
        <f>IF(ISBLANK(Data[[#This Row],[EndDate]]),"Active","InActive")</f>
        <v>Active</v>
      </c>
      <c r="N381" t="s">
        <v>20</v>
      </c>
      <c r="O381" t="s">
        <v>21</v>
      </c>
      <c r="P381" t="s">
        <v>40</v>
      </c>
      <c r="Q381" s="2">
        <v>9303</v>
      </c>
    </row>
    <row r="382" spans="1:17" x14ac:dyDescent="0.2">
      <c r="A382" s="1">
        <v>43435</v>
      </c>
      <c r="B382">
        <v>41512</v>
      </c>
      <c r="C382" t="s">
        <v>79</v>
      </c>
      <c r="D382" t="s">
        <v>15</v>
      </c>
      <c r="E382" t="s">
        <v>70</v>
      </c>
      <c r="F382" s="5">
        <v>21</v>
      </c>
      <c r="G382" t="str">
        <f>IF(Data[[#This Row],[Age]]&lt;25,"Under 25",IF(Data[[#This Row],[Age]]&lt;35,"25–34",IF(Data[[#This Row],[Age]]&lt;45,"35–44",IF(Data[[#This Row],[Age]]&lt;55,"45–54","55+"))))</f>
        <v>Under 25</v>
      </c>
      <c r="H382" t="s">
        <v>17</v>
      </c>
      <c r="I382" t="s">
        <v>18</v>
      </c>
      <c r="J382" t="s">
        <v>35</v>
      </c>
      <c r="K382" s="1">
        <v>41146</v>
      </c>
      <c r="M382" s="1" t="str">
        <f>IF(ISBLANK(Data[[#This Row],[EndDate]]),"Active","InActive")</f>
        <v>Active</v>
      </c>
      <c r="N382" t="s">
        <v>20</v>
      </c>
      <c r="O382" t="s">
        <v>21</v>
      </c>
      <c r="P382" t="s">
        <v>40</v>
      </c>
      <c r="Q382" s="2">
        <v>5869.5</v>
      </c>
    </row>
    <row r="383" spans="1:17" x14ac:dyDescent="0.2">
      <c r="A383" s="1">
        <v>43435</v>
      </c>
      <c r="B383">
        <v>42238</v>
      </c>
      <c r="C383" t="s">
        <v>79</v>
      </c>
      <c r="D383" t="s">
        <v>43</v>
      </c>
      <c r="E383" t="s">
        <v>44</v>
      </c>
      <c r="F383" s="5">
        <v>21</v>
      </c>
      <c r="G383" t="str">
        <f>IF(Data[[#This Row],[Age]]&lt;25,"Under 25",IF(Data[[#This Row],[Age]]&lt;35,"25–34",IF(Data[[#This Row],[Age]]&lt;45,"35–44",IF(Data[[#This Row],[Age]]&lt;55,"45–54","55+"))))</f>
        <v>Under 25</v>
      </c>
      <c r="H383" t="s">
        <v>46</v>
      </c>
      <c r="I383" t="s">
        <v>18</v>
      </c>
      <c r="J383" t="s">
        <v>35</v>
      </c>
      <c r="K383" s="1">
        <v>41202</v>
      </c>
      <c r="M383" s="1" t="str">
        <f>IF(ISBLANK(Data[[#This Row],[EndDate]]),"Active","InActive")</f>
        <v>Active</v>
      </c>
      <c r="N383" t="s">
        <v>20</v>
      </c>
      <c r="O383" t="s">
        <v>21</v>
      </c>
      <c r="P383" t="s">
        <v>40</v>
      </c>
      <c r="Q383" s="2">
        <v>1407</v>
      </c>
    </row>
    <row r="384" spans="1:17" x14ac:dyDescent="0.2">
      <c r="A384" s="1">
        <v>43435</v>
      </c>
      <c r="B384">
        <v>43312</v>
      </c>
      <c r="C384" t="s">
        <v>80</v>
      </c>
      <c r="D384" t="s">
        <v>41</v>
      </c>
      <c r="E384" t="s">
        <v>42</v>
      </c>
      <c r="F384" s="5">
        <v>21</v>
      </c>
      <c r="G384" t="str">
        <f>IF(Data[[#This Row],[Age]]&lt;25,"Under 25",IF(Data[[#This Row],[Age]]&lt;35,"25–34",IF(Data[[#This Row],[Age]]&lt;45,"35–44",IF(Data[[#This Row],[Age]]&lt;55,"45–54","55+"))))</f>
        <v>Under 25</v>
      </c>
      <c r="H384" t="s">
        <v>25</v>
      </c>
      <c r="I384" t="s">
        <v>18</v>
      </c>
      <c r="J384" t="s">
        <v>35</v>
      </c>
      <c r="K384" s="1">
        <v>41712</v>
      </c>
      <c r="M384" s="1" t="str">
        <f>IF(ISBLANK(Data[[#This Row],[EndDate]]),"Active","InActive")</f>
        <v>Active</v>
      </c>
      <c r="N384" t="s">
        <v>20</v>
      </c>
      <c r="O384" t="s">
        <v>21</v>
      </c>
      <c r="P384" t="s">
        <v>40</v>
      </c>
      <c r="Q384" s="2">
        <v>1564.5</v>
      </c>
    </row>
    <row r="385" spans="1:17" x14ac:dyDescent="0.2">
      <c r="A385" s="1">
        <v>43435</v>
      </c>
      <c r="B385">
        <v>53260</v>
      </c>
      <c r="C385" t="s">
        <v>80</v>
      </c>
      <c r="D385" t="s">
        <v>50</v>
      </c>
      <c r="E385" t="s">
        <v>63</v>
      </c>
      <c r="F385" s="5">
        <v>21</v>
      </c>
      <c r="G385" t="str">
        <f>IF(Data[[#This Row],[Age]]&lt;25,"Under 25",IF(Data[[#This Row],[Age]]&lt;35,"25–34",IF(Data[[#This Row],[Age]]&lt;45,"35–44",IF(Data[[#This Row],[Age]]&lt;55,"45–54","55+"))))</f>
        <v>Under 25</v>
      </c>
      <c r="H385" t="s">
        <v>34</v>
      </c>
      <c r="I385" t="s">
        <v>18</v>
      </c>
      <c r="J385" t="s">
        <v>35</v>
      </c>
      <c r="K385" s="1">
        <v>41717</v>
      </c>
      <c r="M385" s="1" t="str">
        <f>IF(ISBLANK(Data[[#This Row],[EndDate]]),"Active","InActive")</f>
        <v>Active</v>
      </c>
      <c r="N385" t="s">
        <v>20</v>
      </c>
      <c r="O385" t="s">
        <v>21</v>
      </c>
      <c r="P385" t="s">
        <v>40</v>
      </c>
      <c r="Q385" s="2">
        <v>3811.5</v>
      </c>
    </row>
    <row r="386" spans="1:17" x14ac:dyDescent="0.2">
      <c r="A386" s="1">
        <v>43435</v>
      </c>
      <c r="B386">
        <v>54564</v>
      </c>
      <c r="C386" t="s">
        <v>80</v>
      </c>
      <c r="D386" t="s">
        <v>29</v>
      </c>
      <c r="E386" t="s">
        <v>30</v>
      </c>
      <c r="F386" s="5">
        <v>21</v>
      </c>
      <c r="G386" t="str">
        <f>IF(Data[[#This Row],[Age]]&lt;25,"Under 25",IF(Data[[#This Row],[Age]]&lt;35,"25–34",IF(Data[[#This Row],[Age]]&lt;45,"35–44",IF(Data[[#This Row],[Age]]&lt;55,"45–54","55+"))))</f>
        <v>Under 25</v>
      </c>
      <c r="H386" t="s">
        <v>46</v>
      </c>
      <c r="I386" t="s">
        <v>18</v>
      </c>
      <c r="J386" t="s">
        <v>35</v>
      </c>
      <c r="K386" s="1">
        <v>41154</v>
      </c>
      <c r="M386" s="1" t="str">
        <f>IF(ISBLANK(Data[[#This Row],[EndDate]]),"Active","InActive")</f>
        <v>Active</v>
      </c>
      <c r="N386" t="s">
        <v>20</v>
      </c>
      <c r="O386" t="s">
        <v>21</v>
      </c>
      <c r="P386" t="s">
        <v>40</v>
      </c>
      <c r="Q386" s="2">
        <v>1606.5</v>
      </c>
    </row>
    <row r="387" spans="1:17" x14ac:dyDescent="0.2">
      <c r="A387" s="1">
        <v>43435</v>
      </c>
      <c r="B387">
        <v>54614</v>
      </c>
      <c r="C387" t="s">
        <v>80</v>
      </c>
      <c r="D387" t="s">
        <v>47</v>
      </c>
      <c r="E387" t="s">
        <v>48</v>
      </c>
      <c r="F387" s="5">
        <v>21</v>
      </c>
      <c r="G387" t="str">
        <f>IF(Data[[#This Row],[Age]]&lt;25,"Under 25",IF(Data[[#This Row],[Age]]&lt;35,"25–34",IF(Data[[#This Row],[Age]]&lt;45,"35–44",IF(Data[[#This Row],[Age]]&lt;55,"45–54","55+"))))</f>
        <v>Under 25</v>
      </c>
      <c r="H387" t="s">
        <v>31</v>
      </c>
      <c r="I387" t="s">
        <v>18</v>
      </c>
      <c r="J387" t="s">
        <v>35</v>
      </c>
      <c r="K387" s="1">
        <v>41207</v>
      </c>
      <c r="M387" s="1" t="str">
        <f>IF(ISBLANK(Data[[#This Row],[EndDate]]),"Active","InActive")</f>
        <v>Active</v>
      </c>
      <c r="N387" t="s">
        <v>20</v>
      </c>
      <c r="O387" t="s">
        <v>21</v>
      </c>
      <c r="P387" t="s">
        <v>40</v>
      </c>
      <c r="Q387" s="2">
        <v>8001</v>
      </c>
    </row>
    <row r="388" spans="1:17" x14ac:dyDescent="0.2">
      <c r="A388" s="1">
        <v>43435</v>
      </c>
      <c r="B388">
        <v>55666</v>
      </c>
      <c r="C388" t="s">
        <v>80</v>
      </c>
      <c r="D388" t="s">
        <v>38</v>
      </c>
      <c r="E388" t="s">
        <v>61</v>
      </c>
      <c r="F388" s="5">
        <v>21</v>
      </c>
      <c r="G388" t="str">
        <f>IF(Data[[#This Row],[Age]]&lt;25,"Under 25",IF(Data[[#This Row],[Age]]&lt;35,"25–34",IF(Data[[#This Row],[Age]]&lt;45,"35–44",IF(Data[[#This Row],[Age]]&lt;55,"45–54","55+"))))</f>
        <v>Under 25</v>
      </c>
      <c r="H388" t="s">
        <v>31</v>
      </c>
      <c r="I388" t="s">
        <v>18</v>
      </c>
      <c r="J388" t="s">
        <v>35</v>
      </c>
      <c r="K388" s="1">
        <v>40737</v>
      </c>
      <c r="M388" s="1" t="str">
        <f>IF(ISBLANK(Data[[#This Row],[EndDate]]),"Active","InActive")</f>
        <v>Active</v>
      </c>
      <c r="N388" t="s">
        <v>20</v>
      </c>
      <c r="O388" t="s">
        <v>21</v>
      </c>
      <c r="P388" t="s">
        <v>40</v>
      </c>
      <c r="Q388" s="2">
        <v>7234.5</v>
      </c>
    </row>
    <row r="389" spans="1:17" x14ac:dyDescent="0.2">
      <c r="A389" s="1">
        <v>43070</v>
      </c>
      <c r="B389">
        <v>8432</v>
      </c>
      <c r="C389" t="s">
        <v>80</v>
      </c>
      <c r="D389" t="s">
        <v>15</v>
      </c>
      <c r="E389" t="s">
        <v>70</v>
      </c>
      <c r="F389" s="5">
        <v>21</v>
      </c>
      <c r="G389" t="str">
        <f>IF(Data[[#This Row],[Age]]&lt;25,"Under 25",IF(Data[[#This Row],[Age]]&lt;35,"25–34",IF(Data[[#This Row],[Age]]&lt;45,"35–44",IF(Data[[#This Row],[Age]]&lt;55,"45–54","55+"))))</f>
        <v>Under 25</v>
      </c>
      <c r="H389" t="s">
        <v>17</v>
      </c>
      <c r="I389" t="s">
        <v>18</v>
      </c>
      <c r="J389" t="s">
        <v>37</v>
      </c>
      <c r="K389" s="1">
        <v>41606</v>
      </c>
      <c r="M389" s="1" t="str">
        <f>IF(ISBLANK(Data[[#This Row],[EndDate]]),"Active","InActive")</f>
        <v>Active</v>
      </c>
      <c r="N389" t="s">
        <v>20</v>
      </c>
      <c r="O389" t="s">
        <v>21</v>
      </c>
      <c r="P389" t="s">
        <v>32</v>
      </c>
      <c r="Q389" s="2">
        <v>7528.5</v>
      </c>
    </row>
    <row r="390" spans="1:17" x14ac:dyDescent="0.2">
      <c r="A390" s="1">
        <v>43070</v>
      </c>
      <c r="B390">
        <v>9000</v>
      </c>
      <c r="C390" t="s">
        <v>80</v>
      </c>
      <c r="D390" t="s">
        <v>52</v>
      </c>
      <c r="E390" t="s">
        <v>67</v>
      </c>
      <c r="F390" s="5">
        <v>21</v>
      </c>
      <c r="G390" t="str">
        <f>IF(Data[[#This Row],[Age]]&lt;25,"Under 25",IF(Data[[#This Row],[Age]]&lt;35,"25–34",IF(Data[[#This Row],[Age]]&lt;45,"35–44",IF(Data[[#This Row],[Age]]&lt;55,"45–54","55+"))))</f>
        <v>Under 25</v>
      </c>
      <c r="H390" t="s">
        <v>46</v>
      </c>
      <c r="I390" t="s">
        <v>18</v>
      </c>
      <c r="J390" t="s">
        <v>37</v>
      </c>
      <c r="K390" s="1">
        <v>41606</v>
      </c>
      <c r="M390" s="1" t="str">
        <f>IF(ISBLANK(Data[[#This Row],[EndDate]]),"Active","InActive")</f>
        <v>Active</v>
      </c>
      <c r="N390" t="s">
        <v>20</v>
      </c>
      <c r="O390" t="s">
        <v>21</v>
      </c>
      <c r="P390" t="s">
        <v>32</v>
      </c>
      <c r="Q390" s="2">
        <v>1984.5</v>
      </c>
    </row>
    <row r="391" spans="1:17" x14ac:dyDescent="0.2">
      <c r="A391" s="1">
        <v>43070</v>
      </c>
      <c r="B391">
        <v>9296</v>
      </c>
      <c r="C391" t="s">
        <v>80</v>
      </c>
      <c r="D391" t="s">
        <v>27</v>
      </c>
      <c r="E391" t="s">
        <v>28</v>
      </c>
      <c r="F391" s="5">
        <v>21</v>
      </c>
      <c r="G391" t="str">
        <f>IF(Data[[#This Row],[Age]]&lt;25,"Under 25",IF(Data[[#This Row],[Age]]&lt;35,"25–34",IF(Data[[#This Row],[Age]]&lt;45,"35–44",IF(Data[[#This Row],[Age]]&lt;55,"45–54","55+"))))</f>
        <v>Under 25</v>
      </c>
      <c r="H391" t="s">
        <v>34</v>
      </c>
      <c r="I391" t="s">
        <v>18</v>
      </c>
      <c r="J391" t="s">
        <v>37</v>
      </c>
      <c r="K391" s="1">
        <v>41605</v>
      </c>
      <c r="M391" s="1" t="str">
        <f>IF(ISBLANK(Data[[#This Row],[EndDate]]),"Active","InActive")</f>
        <v>Active</v>
      </c>
      <c r="N391" t="s">
        <v>20</v>
      </c>
      <c r="O391" t="s">
        <v>21</v>
      </c>
      <c r="P391" t="s">
        <v>32</v>
      </c>
      <c r="Q391" s="2">
        <v>9765</v>
      </c>
    </row>
    <row r="392" spans="1:17" x14ac:dyDescent="0.2">
      <c r="A392" s="1">
        <v>43070</v>
      </c>
      <c r="B392">
        <v>23402</v>
      </c>
      <c r="C392" t="s">
        <v>80</v>
      </c>
      <c r="D392" t="s">
        <v>50</v>
      </c>
      <c r="E392" t="s">
        <v>55</v>
      </c>
      <c r="F392" s="5">
        <v>21</v>
      </c>
      <c r="G392" t="str">
        <f>IF(Data[[#This Row],[Age]]&lt;25,"Under 25",IF(Data[[#This Row],[Age]]&lt;35,"25–34",IF(Data[[#This Row],[Age]]&lt;45,"35–44",IF(Data[[#This Row],[Age]]&lt;55,"45–54","55+"))))</f>
        <v>Under 25</v>
      </c>
      <c r="H392" t="s">
        <v>46</v>
      </c>
      <c r="I392" t="s">
        <v>18</v>
      </c>
      <c r="J392" t="s">
        <v>37</v>
      </c>
      <c r="K392" s="1">
        <v>41508</v>
      </c>
      <c r="M392" s="1" t="str">
        <f>IF(ISBLANK(Data[[#This Row],[EndDate]]),"Active","InActive")</f>
        <v>Active</v>
      </c>
      <c r="N392" t="s">
        <v>20</v>
      </c>
      <c r="O392" t="s">
        <v>21</v>
      </c>
      <c r="P392" t="s">
        <v>32</v>
      </c>
      <c r="Q392" s="2">
        <v>4651.5</v>
      </c>
    </row>
    <row r="393" spans="1:17" x14ac:dyDescent="0.2">
      <c r="A393" s="1">
        <v>42705</v>
      </c>
      <c r="B393">
        <v>100322</v>
      </c>
      <c r="C393" t="s">
        <v>79</v>
      </c>
      <c r="D393" t="s">
        <v>27</v>
      </c>
      <c r="E393" t="s">
        <v>72</v>
      </c>
      <c r="F393" s="5">
        <v>21</v>
      </c>
      <c r="G393" t="str">
        <f>IF(Data[[#This Row],[Age]]&lt;25,"Under 25",IF(Data[[#This Row],[Age]]&lt;35,"25–34",IF(Data[[#This Row],[Age]]&lt;45,"35–44",IF(Data[[#This Row],[Age]]&lt;55,"45–54","55+"))))</f>
        <v>Under 25</v>
      </c>
      <c r="H393" t="s">
        <v>25</v>
      </c>
      <c r="I393" t="s">
        <v>18</v>
      </c>
      <c r="J393" t="s">
        <v>37</v>
      </c>
      <c r="K393" s="1">
        <v>41242</v>
      </c>
      <c r="M393" s="1" t="str">
        <f>IF(ISBLANK(Data[[#This Row],[EndDate]]),"Active","InActive")</f>
        <v>Active</v>
      </c>
      <c r="N393" t="s">
        <v>20</v>
      </c>
      <c r="O393" t="s">
        <v>21</v>
      </c>
      <c r="P393" t="s">
        <v>22</v>
      </c>
      <c r="Q393" s="2">
        <v>6877.5</v>
      </c>
    </row>
    <row r="394" spans="1:17" x14ac:dyDescent="0.2">
      <c r="A394" s="1">
        <v>42705</v>
      </c>
      <c r="B394">
        <v>100372</v>
      </c>
      <c r="C394" t="s">
        <v>80</v>
      </c>
      <c r="D394" t="s">
        <v>27</v>
      </c>
      <c r="E394" t="s">
        <v>72</v>
      </c>
      <c r="F394" s="5">
        <v>21</v>
      </c>
      <c r="G394" t="str">
        <f>IF(Data[[#This Row],[Age]]&lt;25,"Under 25",IF(Data[[#This Row],[Age]]&lt;35,"25–34",IF(Data[[#This Row],[Age]]&lt;45,"35–44",IF(Data[[#This Row],[Age]]&lt;55,"45–54","55+"))))</f>
        <v>Under 25</v>
      </c>
      <c r="H394" t="s">
        <v>46</v>
      </c>
      <c r="I394" t="s">
        <v>18</v>
      </c>
      <c r="J394" t="s">
        <v>35</v>
      </c>
      <c r="K394" s="1">
        <v>41243</v>
      </c>
      <c r="L394" s="1">
        <v>41303</v>
      </c>
      <c r="M394" s="1" t="str">
        <f>IF(ISBLANK(Data[[#This Row],[EndDate]]),"Active","InActive")</f>
        <v>InActive</v>
      </c>
      <c r="N394" t="s">
        <v>20</v>
      </c>
      <c r="O394" t="s">
        <v>21</v>
      </c>
      <c r="P394" t="s">
        <v>22</v>
      </c>
      <c r="Q394" s="2">
        <v>7486.5</v>
      </c>
    </row>
    <row r="395" spans="1:17" x14ac:dyDescent="0.2">
      <c r="A395" s="1">
        <v>43435</v>
      </c>
      <c r="B395">
        <v>21870</v>
      </c>
      <c r="C395" t="s">
        <v>79</v>
      </c>
      <c r="D395" t="s">
        <v>29</v>
      </c>
      <c r="E395" t="s">
        <v>33</v>
      </c>
      <c r="F395" s="5">
        <v>21</v>
      </c>
      <c r="G395" t="str">
        <f>IF(Data[[#This Row],[Age]]&lt;25,"Under 25",IF(Data[[#This Row],[Age]]&lt;35,"25–34",IF(Data[[#This Row],[Age]]&lt;45,"35–44",IF(Data[[#This Row],[Age]]&lt;55,"45–54","55+"))))</f>
        <v>Under 25</v>
      </c>
      <c r="H395" t="s">
        <v>59</v>
      </c>
      <c r="I395" t="s">
        <v>18</v>
      </c>
      <c r="J395" t="s">
        <v>37</v>
      </c>
      <c r="K395" s="1">
        <v>41530</v>
      </c>
      <c r="M395" s="1" t="str">
        <f>IF(ISBLANK(Data[[#This Row],[EndDate]]),"Active","InActive")</f>
        <v>Active</v>
      </c>
      <c r="N395" t="s">
        <v>20</v>
      </c>
      <c r="O395" t="s">
        <v>21</v>
      </c>
      <c r="P395" t="s">
        <v>40</v>
      </c>
      <c r="Q395" s="2">
        <v>9250.5</v>
      </c>
    </row>
    <row r="396" spans="1:17" x14ac:dyDescent="0.2">
      <c r="A396" s="1">
        <v>42705</v>
      </c>
      <c r="B396">
        <v>100690</v>
      </c>
      <c r="C396" t="s">
        <v>79</v>
      </c>
      <c r="D396" t="s">
        <v>15</v>
      </c>
      <c r="E396" t="s">
        <v>16</v>
      </c>
      <c r="F396" s="5">
        <v>22</v>
      </c>
      <c r="G396" t="str">
        <f>IF(Data[[#This Row],[Age]]&lt;25,"Under 25",IF(Data[[#This Row],[Age]]&lt;35,"25–34",IF(Data[[#This Row],[Age]]&lt;45,"35–44",IF(Data[[#This Row],[Age]]&lt;55,"45–54","55+"))))</f>
        <v>Under 25</v>
      </c>
      <c r="H396" t="s">
        <v>31</v>
      </c>
      <c r="I396" t="s">
        <v>56</v>
      </c>
      <c r="J396" t="s">
        <v>37</v>
      </c>
      <c r="K396" s="1">
        <v>41252</v>
      </c>
      <c r="M396" s="1" t="str">
        <f>IF(ISBLANK(Data[[#This Row],[EndDate]]),"Active","InActive")</f>
        <v>Active</v>
      </c>
      <c r="N396" t="s">
        <v>57</v>
      </c>
      <c r="O396" t="s">
        <v>21</v>
      </c>
      <c r="P396" t="s">
        <v>22</v>
      </c>
      <c r="Q396" s="2">
        <v>9746</v>
      </c>
    </row>
    <row r="397" spans="1:17" x14ac:dyDescent="0.2">
      <c r="A397" s="1">
        <v>43070</v>
      </c>
      <c r="B397">
        <v>49908</v>
      </c>
      <c r="C397" t="s">
        <v>79</v>
      </c>
      <c r="D397" t="s">
        <v>41</v>
      </c>
      <c r="E397" t="s">
        <v>42</v>
      </c>
      <c r="F397" s="5">
        <v>22</v>
      </c>
      <c r="G397" t="str">
        <f>IF(Data[[#This Row],[Age]]&lt;25,"Under 25",IF(Data[[#This Row],[Age]]&lt;35,"25–34",IF(Data[[#This Row],[Age]]&lt;45,"35–44",IF(Data[[#This Row],[Age]]&lt;55,"45–54","55+"))))</f>
        <v>Under 25</v>
      </c>
      <c r="H397" t="s">
        <v>25</v>
      </c>
      <c r="I397" t="s">
        <v>56</v>
      </c>
      <c r="J397" t="s">
        <v>35</v>
      </c>
      <c r="K397" s="1">
        <v>41614</v>
      </c>
      <c r="M397" s="1" t="str">
        <f>IF(ISBLANK(Data[[#This Row],[EndDate]]),"Active","InActive")</f>
        <v>Active</v>
      </c>
      <c r="N397" t="s">
        <v>57</v>
      </c>
      <c r="O397" t="s">
        <v>21</v>
      </c>
      <c r="P397" t="s">
        <v>32</v>
      </c>
      <c r="Q397" s="2">
        <v>4785</v>
      </c>
    </row>
    <row r="398" spans="1:17" x14ac:dyDescent="0.2">
      <c r="A398" s="1">
        <v>42705</v>
      </c>
      <c r="B398">
        <v>101482</v>
      </c>
      <c r="C398" t="s">
        <v>80</v>
      </c>
      <c r="D398" t="s">
        <v>43</v>
      </c>
      <c r="E398" t="s">
        <v>44</v>
      </c>
      <c r="F398" s="5">
        <v>22</v>
      </c>
      <c r="G398" t="str">
        <f>IF(Data[[#This Row],[Age]]&lt;25,"Under 25",IF(Data[[#This Row],[Age]]&lt;35,"25–34",IF(Data[[#This Row],[Age]]&lt;45,"35–44",IF(Data[[#This Row],[Age]]&lt;55,"45–54","55+"))))</f>
        <v>Under 25</v>
      </c>
      <c r="H398" t="s">
        <v>34</v>
      </c>
      <c r="I398" t="s">
        <v>56</v>
      </c>
      <c r="J398" t="s">
        <v>37</v>
      </c>
      <c r="K398" s="1">
        <v>41257</v>
      </c>
      <c r="M398" s="1" t="str">
        <f>IF(ISBLANK(Data[[#This Row],[EndDate]]),"Active","InActive")</f>
        <v>Active</v>
      </c>
      <c r="N398" t="s">
        <v>57</v>
      </c>
      <c r="O398" t="s">
        <v>21</v>
      </c>
      <c r="P398" t="s">
        <v>22</v>
      </c>
      <c r="Q398" s="2">
        <v>4191</v>
      </c>
    </row>
    <row r="399" spans="1:17" x14ac:dyDescent="0.2">
      <c r="A399" s="1">
        <v>43070</v>
      </c>
      <c r="B399">
        <v>33310</v>
      </c>
      <c r="C399" t="s">
        <v>80</v>
      </c>
      <c r="D399" t="s">
        <v>15</v>
      </c>
      <c r="E399" t="s">
        <v>70</v>
      </c>
      <c r="F399" s="5">
        <v>22</v>
      </c>
      <c r="G399" t="str">
        <f>IF(Data[[#This Row],[Age]]&lt;25,"Under 25",IF(Data[[#This Row],[Age]]&lt;35,"25–34",IF(Data[[#This Row],[Age]]&lt;45,"35–44",IF(Data[[#This Row],[Age]]&lt;55,"45–54","55+"))))</f>
        <v>Under 25</v>
      </c>
      <c r="H399" t="s">
        <v>31</v>
      </c>
      <c r="I399" t="s">
        <v>56</v>
      </c>
      <c r="J399" t="s">
        <v>19</v>
      </c>
      <c r="K399" s="1">
        <v>41450</v>
      </c>
      <c r="M399" s="1" t="str">
        <f>IF(ISBLANK(Data[[#This Row],[EndDate]]),"Active","InActive")</f>
        <v>Active</v>
      </c>
      <c r="N399" t="s">
        <v>57</v>
      </c>
      <c r="O399" t="s">
        <v>21</v>
      </c>
      <c r="P399" t="s">
        <v>32</v>
      </c>
      <c r="Q399" s="2">
        <v>6303</v>
      </c>
    </row>
    <row r="400" spans="1:17" x14ac:dyDescent="0.2">
      <c r="A400" s="1">
        <v>43070</v>
      </c>
      <c r="B400">
        <v>52834</v>
      </c>
      <c r="C400" t="s">
        <v>80</v>
      </c>
      <c r="D400" t="s">
        <v>15</v>
      </c>
      <c r="E400" t="s">
        <v>58</v>
      </c>
      <c r="F400" s="5">
        <v>22</v>
      </c>
      <c r="G400" t="str">
        <f>IF(Data[[#This Row],[Age]]&lt;25,"Under 25",IF(Data[[#This Row],[Age]]&lt;35,"25–34",IF(Data[[#This Row],[Age]]&lt;45,"35–44",IF(Data[[#This Row],[Age]]&lt;55,"45–54","55+"))))</f>
        <v>Under 25</v>
      </c>
      <c r="H400" t="s">
        <v>17</v>
      </c>
      <c r="I400" t="s">
        <v>56</v>
      </c>
      <c r="J400" t="s">
        <v>37</v>
      </c>
      <c r="K400" s="1">
        <v>40933</v>
      </c>
      <c r="M400" s="1" t="str">
        <f>IF(ISBLANK(Data[[#This Row],[EndDate]]),"Active","InActive")</f>
        <v>Active</v>
      </c>
      <c r="N400" t="s">
        <v>57</v>
      </c>
      <c r="O400" t="s">
        <v>21</v>
      </c>
      <c r="P400" t="s">
        <v>32</v>
      </c>
      <c r="Q400" s="2">
        <v>6116</v>
      </c>
    </row>
    <row r="401" spans="1:17" x14ac:dyDescent="0.2">
      <c r="A401" s="1">
        <v>43435</v>
      </c>
      <c r="B401">
        <v>52988</v>
      </c>
      <c r="C401" t="s">
        <v>79</v>
      </c>
      <c r="D401" t="s">
        <v>47</v>
      </c>
      <c r="E401" t="s">
        <v>48</v>
      </c>
      <c r="F401" s="5">
        <v>22</v>
      </c>
      <c r="G401" t="str">
        <f>IF(Data[[#This Row],[Age]]&lt;25,"Under 25",IF(Data[[#This Row],[Age]]&lt;35,"25–34",IF(Data[[#This Row],[Age]]&lt;45,"35–44",IF(Data[[#This Row],[Age]]&lt;55,"45–54","55+"))))</f>
        <v>Under 25</v>
      </c>
      <c r="H401" t="s">
        <v>46</v>
      </c>
      <c r="I401" t="s">
        <v>56</v>
      </c>
      <c r="J401" t="s">
        <v>37</v>
      </c>
      <c r="K401" s="1">
        <v>41846</v>
      </c>
      <c r="M401" s="1" t="str">
        <f>IF(ISBLANK(Data[[#This Row],[EndDate]]),"Active","InActive")</f>
        <v>Active</v>
      </c>
      <c r="N401" t="s">
        <v>57</v>
      </c>
      <c r="O401" t="s">
        <v>21</v>
      </c>
      <c r="P401" t="s">
        <v>40</v>
      </c>
      <c r="Q401" s="2">
        <v>1507</v>
      </c>
    </row>
    <row r="402" spans="1:17" x14ac:dyDescent="0.2">
      <c r="A402" s="1">
        <v>42705</v>
      </c>
      <c r="B402">
        <v>19600</v>
      </c>
      <c r="C402" t="s">
        <v>79</v>
      </c>
      <c r="D402" t="s">
        <v>29</v>
      </c>
      <c r="E402" t="s">
        <v>30</v>
      </c>
      <c r="F402" s="5">
        <v>22</v>
      </c>
      <c r="G402" t="str">
        <f>IF(Data[[#This Row],[Age]]&lt;25,"Under 25",IF(Data[[#This Row],[Age]]&lt;35,"25–34",IF(Data[[#This Row],[Age]]&lt;45,"35–44",IF(Data[[#This Row],[Age]]&lt;55,"45–54","55+"))))</f>
        <v>Under 25</v>
      </c>
      <c r="H402" t="s">
        <v>49</v>
      </c>
      <c r="I402" t="s">
        <v>56</v>
      </c>
      <c r="J402" t="s">
        <v>37</v>
      </c>
      <c r="K402" s="1">
        <v>40660</v>
      </c>
      <c r="M402" s="1" t="str">
        <f>IF(ISBLANK(Data[[#This Row],[EndDate]]),"Active","InActive")</f>
        <v>Active</v>
      </c>
      <c r="N402" t="s">
        <v>57</v>
      </c>
      <c r="O402" t="s">
        <v>21</v>
      </c>
      <c r="P402" t="s">
        <v>22</v>
      </c>
      <c r="Q402" s="2">
        <v>4631</v>
      </c>
    </row>
    <row r="403" spans="1:17" x14ac:dyDescent="0.2">
      <c r="A403" s="1">
        <v>42705</v>
      </c>
      <c r="B403">
        <v>91824</v>
      </c>
      <c r="C403" t="s">
        <v>80</v>
      </c>
      <c r="D403" t="s">
        <v>29</v>
      </c>
      <c r="E403" t="s">
        <v>36</v>
      </c>
      <c r="F403" s="5">
        <v>22</v>
      </c>
      <c r="G403" t="str">
        <f>IF(Data[[#This Row],[Age]]&lt;25,"Under 25",IF(Data[[#This Row],[Age]]&lt;35,"25–34",IF(Data[[#This Row],[Age]]&lt;45,"35–44",IF(Data[[#This Row],[Age]]&lt;55,"45–54","55+"))))</f>
        <v>Under 25</v>
      </c>
      <c r="H403" t="s">
        <v>31</v>
      </c>
      <c r="I403" t="s">
        <v>56</v>
      </c>
      <c r="J403" t="s">
        <v>37</v>
      </c>
      <c r="K403" s="1">
        <v>39592</v>
      </c>
      <c r="M403" s="1" t="str">
        <f>IF(ISBLANK(Data[[#This Row],[EndDate]]),"Active","InActive")</f>
        <v>Active</v>
      </c>
      <c r="N403" t="s">
        <v>57</v>
      </c>
      <c r="O403" t="s">
        <v>21</v>
      </c>
      <c r="P403" t="s">
        <v>22</v>
      </c>
      <c r="Q403" s="2">
        <v>4906</v>
      </c>
    </row>
    <row r="404" spans="1:17" x14ac:dyDescent="0.2">
      <c r="A404" s="1">
        <v>42705</v>
      </c>
      <c r="B404">
        <v>101996</v>
      </c>
      <c r="C404" t="s">
        <v>80</v>
      </c>
      <c r="D404" t="s">
        <v>15</v>
      </c>
      <c r="E404" t="s">
        <v>58</v>
      </c>
      <c r="F404" s="5">
        <v>22</v>
      </c>
      <c r="G404" t="str">
        <f>IF(Data[[#This Row],[Age]]&lt;25,"Under 25",IF(Data[[#This Row],[Age]]&lt;35,"25–34",IF(Data[[#This Row],[Age]]&lt;45,"35–44",IF(Data[[#This Row],[Age]]&lt;55,"45–54","55+"))))</f>
        <v>Under 25</v>
      </c>
      <c r="H404" t="s">
        <v>25</v>
      </c>
      <c r="I404" t="s">
        <v>56</v>
      </c>
      <c r="J404" t="s">
        <v>26</v>
      </c>
      <c r="K404" s="1">
        <v>38999</v>
      </c>
      <c r="M404" s="1" t="str">
        <f>IF(ISBLANK(Data[[#This Row],[EndDate]]),"Active","InActive")</f>
        <v>Active</v>
      </c>
      <c r="N404" t="s">
        <v>57</v>
      </c>
      <c r="O404" t="s">
        <v>21</v>
      </c>
      <c r="P404" t="s">
        <v>22</v>
      </c>
      <c r="Q404" s="2">
        <v>9218</v>
      </c>
    </row>
    <row r="405" spans="1:17" x14ac:dyDescent="0.2">
      <c r="A405" s="1">
        <v>43070</v>
      </c>
      <c r="B405">
        <v>43672</v>
      </c>
      <c r="C405" t="s">
        <v>79</v>
      </c>
      <c r="D405" t="s">
        <v>41</v>
      </c>
      <c r="E405" t="s">
        <v>62</v>
      </c>
      <c r="F405" s="5">
        <v>22</v>
      </c>
      <c r="G405" t="str">
        <f>IF(Data[[#This Row],[Age]]&lt;25,"Under 25",IF(Data[[#This Row],[Age]]&lt;35,"25–34",IF(Data[[#This Row],[Age]]&lt;45,"35–44",IF(Data[[#This Row],[Age]]&lt;55,"45–54","55+"))))</f>
        <v>Under 25</v>
      </c>
      <c r="H405" t="s">
        <v>31</v>
      </c>
      <c r="I405" t="s">
        <v>56</v>
      </c>
      <c r="J405" t="s">
        <v>37</v>
      </c>
      <c r="K405" s="1">
        <v>39024</v>
      </c>
      <c r="M405" s="1" t="str">
        <f>IF(ISBLANK(Data[[#This Row],[EndDate]]),"Active","InActive")</f>
        <v>Active</v>
      </c>
      <c r="N405" t="s">
        <v>57</v>
      </c>
      <c r="O405" t="s">
        <v>21</v>
      </c>
      <c r="P405" t="s">
        <v>32</v>
      </c>
      <c r="Q405" s="2">
        <v>10868</v>
      </c>
    </row>
    <row r="406" spans="1:17" x14ac:dyDescent="0.2">
      <c r="A406" s="1">
        <v>43070</v>
      </c>
      <c r="B406">
        <v>50386</v>
      </c>
      <c r="C406" t="s">
        <v>79</v>
      </c>
      <c r="D406" t="s">
        <v>41</v>
      </c>
      <c r="E406" t="s">
        <v>62</v>
      </c>
      <c r="F406" s="5">
        <v>22</v>
      </c>
      <c r="G406" t="str">
        <f>IF(Data[[#This Row],[Age]]&lt;25,"Under 25",IF(Data[[#This Row],[Age]]&lt;35,"25–34",IF(Data[[#This Row],[Age]]&lt;45,"35–44",IF(Data[[#This Row],[Age]]&lt;55,"45–54","55+"))))</f>
        <v>Under 25</v>
      </c>
      <c r="H406" t="s">
        <v>49</v>
      </c>
      <c r="I406" t="s">
        <v>56</v>
      </c>
      <c r="J406" t="s">
        <v>37</v>
      </c>
      <c r="K406" s="1">
        <v>40432</v>
      </c>
      <c r="M406" s="1" t="str">
        <f>IF(ISBLANK(Data[[#This Row],[EndDate]]),"Active","InActive")</f>
        <v>Active</v>
      </c>
      <c r="N406" t="s">
        <v>57</v>
      </c>
      <c r="O406" t="s">
        <v>21</v>
      </c>
      <c r="P406" t="s">
        <v>32</v>
      </c>
      <c r="Q406" s="2">
        <v>7612</v>
      </c>
    </row>
    <row r="407" spans="1:17" x14ac:dyDescent="0.2">
      <c r="A407" s="1">
        <v>43070</v>
      </c>
      <c r="B407">
        <v>96352</v>
      </c>
      <c r="C407" t="s">
        <v>79</v>
      </c>
      <c r="D407" t="s">
        <v>23</v>
      </c>
      <c r="E407" t="s">
        <v>71</v>
      </c>
      <c r="F407" s="5">
        <v>22</v>
      </c>
      <c r="G407" t="str">
        <f>IF(Data[[#This Row],[Age]]&lt;25,"Under 25",IF(Data[[#This Row],[Age]]&lt;35,"25–34",IF(Data[[#This Row],[Age]]&lt;45,"35–44",IF(Data[[#This Row],[Age]]&lt;55,"45–54","55+"))))</f>
        <v>Under 25</v>
      </c>
      <c r="H407" t="s">
        <v>34</v>
      </c>
      <c r="I407" t="s">
        <v>56</v>
      </c>
      <c r="J407" t="s">
        <v>19</v>
      </c>
      <c r="K407" s="1">
        <v>41318</v>
      </c>
      <c r="M407" s="1" t="str">
        <f>IF(ISBLANK(Data[[#This Row],[EndDate]]),"Active","InActive")</f>
        <v>Active</v>
      </c>
      <c r="N407" t="s">
        <v>57</v>
      </c>
      <c r="O407" t="s">
        <v>21</v>
      </c>
      <c r="P407" t="s">
        <v>32</v>
      </c>
      <c r="Q407" s="2">
        <v>5357</v>
      </c>
    </row>
    <row r="408" spans="1:17" x14ac:dyDescent="0.2">
      <c r="A408" s="1">
        <v>43070</v>
      </c>
      <c r="B408">
        <v>98352</v>
      </c>
      <c r="C408" t="s">
        <v>79</v>
      </c>
      <c r="D408" t="s">
        <v>52</v>
      </c>
      <c r="E408" t="s">
        <v>69</v>
      </c>
      <c r="F408" s="5">
        <v>22</v>
      </c>
      <c r="G408" t="str">
        <f>IF(Data[[#This Row],[Age]]&lt;25,"Under 25",IF(Data[[#This Row],[Age]]&lt;35,"25–34",IF(Data[[#This Row],[Age]]&lt;45,"35–44",IF(Data[[#This Row],[Age]]&lt;55,"45–54","55+"))))</f>
        <v>Under 25</v>
      </c>
      <c r="H408" t="s">
        <v>46</v>
      </c>
      <c r="I408" t="s">
        <v>56</v>
      </c>
      <c r="J408" t="s">
        <v>19</v>
      </c>
      <c r="K408" s="1">
        <v>40764</v>
      </c>
      <c r="M408" s="1" t="str">
        <f>IF(ISBLANK(Data[[#This Row],[EndDate]]),"Active","InActive")</f>
        <v>Active</v>
      </c>
      <c r="N408" t="s">
        <v>57</v>
      </c>
      <c r="O408" t="s">
        <v>21</v>
      </c>
      <c r="P408" t="s">
        <v>32</v>
      </c>
      <c r="Q408" s="2">
        <v>3828</v>
      </c>
    </row>
    <row r="409" spans="1:17" x14ac:dyDescent="0.2">
      <c r="A409" s="1">
        <v>43435</v>
      </c>
      <c r="B409">
        <v>41288</v>
      </c>
      <c r="C409" t="s">
        <v>79</v>
      </c>
      <c r="D409" t="s">
        <v>41</v>
      </c>
      <c r="E409" t="s">
        <v>68</v>
      </c>
      <c r="F409" s="5">
        <v>22</v>
      </c>
      <c r="G409" t="str">
        <f>IF(Data[[#This Row],[Age]]&lt;25,"Under 25",IF(Data[[#This Row],[Age]]&lt;35,"25–34",IF(Data[[#This Row],[Age]]&lt;45,"35–44",IF(Data[[#This Row],[Age]]&lt;55,"45–54","55+"))))</f>
        <v>Under 25</v>
      </c>
      <c r="H409" t="s">
        <v>46</v>
      </c>
      <c r="I409" t="s">
        <v>56</v>
      </c>
      <c r="J409" t="s">
        <v>37</v>
      </c>
      <c r="K409" s="1">
        <v>40970</v>
      </c>
      <c r="M409" s="1" t="str">
        <f>IF(ISBLANK(Data[[#This Row],[EndDate]]),"Active","InActive")</f>
        <v>Active</v>
      </c>
      <c r="N409" t="s">
        <v>57</v>
      </c>
      <c r="O409" t="s">
        <v>21</v>
      </c>
      <c r="P409" t="s">
        <v>40</v>
      </c>
      <c r="Q409" s="2">
        <v>9493</v>
      </c>
    </row>
    <row r="410" spans="1:17" x14ac:dyDescent="0.2">
      <c r="A410" s="1">
        <v>43435</v>
      </c>
      <c r="B410">
        <v>50272</v>
      </c>
      <c r="C410" t="s">
        <v>80</v>
      </c>
      <c r="D410" t="s">
        <v>41</v>
      </c>
      <c r="E410" t="s">
        <v>42</v>
      </c>
      <c r="F410" s="5">
        <v>22</v>
      </c>
      <c r="G410" t="str">
        <f>IF(Data[[#This Row],[Age]]&lt;25,"Under 25",IF(Data[[#This Row],[Age]]&lt;35,"25–34",IF(Data[[#This Row],[Age]]&lt;45,"35–44",IF(Data[[#This Row],[Age]]&lt;55,"45–54","55+"))))</f>
        <v>Under 25</v>
      </c>
      <c r="H410" t="s">
        <v>25</v>
      </c>
      <c r="I410" t="s">
        <v>56</v>
      </c>
      <c r="J410" t="s">
        <v>37</v>
      </c>
      <c r="K410" s="1">
        <v>40988</v>
      </c>
      <c r="M410" s="1" t="str">
        <f>IF(ISBLANK(Data[[#This Row],[EndDate]]),"Active","InActive")</f>
        <v>Active</v>
      </c>
      <c r="N410" t="s">
        <v>57</v>
      </c>
      <c r="O410" t="s">
        <v>21</v>
      </c>
      <c r="P410" t="s">
        <v>40</v>
      </c>
      <c r="Q410" s="2">
        <v>1595</v>
      </c>
    </row>
    <row r="411" spans="1:17" x14ac:dyDescent="0.2">
      <c r="A411" s="1">
        <v>43435</v>
      </c>
      <c r="B411">
        <v>50396</v>
      </c>
      <c r="C411" t="s">
        <v>79</v>
      </c>
      <c r="D411" t="s">
        <v>15</v>
      </c>
      <c r="E411" t="s">
        <v>16</v>
      </c>
      <c r="F411" s="5">
        <v>22</v>
      </c>
      <c r="G411" t="str">
        <f>IF(Data[[#This Row],[Age]]&lt;25,"Under 25",IF(Data[[#This Row],[Age]]&lt;35,"25–34",IF(Data[[#This Row],[Age]]&lt;45,"35–44",IF(Data[[#This Row],[Age]]&lt;55,"45–54","55+"))))</f>
        <v>Under 25</v>
      </c>
      <c r="H411" t="s">
        <v>49</v>
      </c>
      <c r="I411" t="s">
        <v>56</v>
      </c>
      <c r="J411" t="s">
        <v>37</v>
      </c>
      <c r="K411" s="1">
        <v>41193</v>
      </c>
      <c r="M411" s="1" t="str">
        <f>IF(ISBLANK(Data[[#This Row],[EndDate]]),"Active","InActive")</f>
        <v>Active</v>
      </c>
      <c r="N411" t="s">
        <v>57</v>
      </c>
      <c r="O411" t="s">
        <v>21</v>
      </c>
      <c r="P411" t="s">
        <v>40</v>
      </c>
      <c r="Q411" s="2">
        <v>1529</v>
      </c>
    </row>
    <row r="412" spans="1:17" x14ac:dyDescent="0.2">
      <c r="A412" s="1">
        <v>43435</v>
      </c>
      <c r="B412">
        <v>98172</v>
      </c>
      <c r="C412" t="s">
        <v>79</v>
      </c>
      <c r="D412" t="s">
        <v>27</v>
      </c>
      <c r="E412" t="s">
        <v>72</v>
      </c>
      <c r="F412" s="5">
        <v>22</v>
      </c>
      <c r="G412" t="str">
        <f>IF(Data[[#This Row],[Age]]&lt;25,"Under 25",IF(Data[[#This Row],[Age]]&lt;35,"25–34",IF(Data[[#This Row],[Age]]&lt;45,"35–44",IF(Data[[#This Row],[Age]]&lt;55,"45–54","55+"))))</f>
        <v>Under 25</v>
      </c>
      <c r="H412" t="s">
        <v>31</v>
      </c>
      <c r="I412" t="s">
        <v>56</v>
      </c>
      <c r="J412" t="s">
        <v>19</v>
      </c>
      <c r="K412" s="1">
        <v>41695</v>
      </c>
      <c r="M412" s="1" t="str">
        <f>IF(ISBLANK(Data[[#This Row],[EndDate]]),"Active","InActive")</f>
        <v>Active</v>
      </c>
      <c r="N412" t="s">
        <v>57</v>
      </c>
      <c r="O412" t="s">
        <v>21</v>
      </c>
      <c r="P412" t="s">
        <v>40</v>
      </c>
      <c r="Q412" s="2">
        <v>2442</v>
      </c>
    </row>
    <row r="413" spans="1:17" x14ac:dyDescent="0.2">
      <c r="A413" s="1">
        <v>43070</v>
      </c>
      <c r="B413">
        <v>43340</v>
      </c>
      <c r="C413" t="s">
        <v>79</v>
      </c>
      <c r="D413" t="s">
        <v>52</v>
      </c>
      <c r="E413" t="s">
        <v>67</v>
      </c>
      <c r="F413" s="5">
        <v>22</v>
      </c>
      <c r="G413" t="str">
        <f>IF(Data[[#This Row],[Age]]&lt;25,"Under 25",IF(Data[[#This Row],[Age]]&lt;35,"25–34",IF(Data[[#This Row],[Age]]&lt;45,"35–44",IF(Data[[#This Row],[Age]]&lt;55,"45–54","55+"))))</f>
        <v>Under 25</v>
      </c>
      <c r="H413" t="s">
        <v>17</v>
      </c>
      <c r="I413" t="s">
        <v>56</v>
      </c>
      <c r="J413" t="s">
        <v>35</v>
      </c>
      <c r="K413" s="1">
        <v>41506</v>
      </c>
      <c r="M413" s="1" t="str">
        <f>IF(ISBLANK(Data[[#This Row],[EndDate]]),"Active","InActive")</f>
        <v>Active</v>
      </c>
      <c r="N413" t="s">
        <v>57</v>
      </c>
      <c r="O413" t="s">
        <v>21</v>
      </c>
      <c r="P413" t="s">
        <v>32</v>
      </c>
      <c r="Q413" s="2">
        <v>4763</v>
      </c>
    </row>
    <row r="414" spans="1:17" x14ac:dyDescent="0.2">
      <c r="A414" s="1">
        <v>43070</v>
      </c>
      <c r="B414">
        <v>43342</v>
      </c>
      <c r="C414" t="s">
        <v>79</v>
      </c>
      <c r="D414" t="s">
        <v>47</v>
      </c>
      <c r="E414" t="s">
        <v>73</v>
      </c>
      <c r="F414" s="5">
        <v>22</v>
      </c>
      <c r="G414" t="str">
        <f>IF(Data[[#This Row],[Age]]&lt;25,"Under 25",IF(Data[[#This Row],[Age]]&lt;35,"25–34",IF(Data[[#This Row],[Age]]&lt;45,"35–44",IF(Data[[#This Row],[Age]]&lt;55,"45–54","55+"))))</f>
        <v>Under 25</v>
      </c>
      <c r="H414" t="s">
        <v>25</v>
      </c>
      <c r="I414" t="s">
        <v>56</v>
      </c>
      <c r="J414" t="s">
        <v>35</v>
      </c>
      <c r="K414" s="1">
        <v>40999</v>
      </c>
      <c r="M414" s="1" t="str">
        <f>IF(ISBLANK(Data[[#This Row],[EndDate]]),"Active","InActive")</f>
        <v>Active</v>
      </c>
      <c r="N414" t="s">
        <v>57</v>
      </c>
      <c r="O414" t="s">
        <v>21</v>
      </c>
      <c r="P414" t="s">
        <v>32</v>
      </c>
      <c r="Q414" s="2">
        <v>7051</v>
      </c>
    </row>
    <row r="415" spans="1:17" x14ac:dyDescent="0.2">
      <c r="A415" s="1">
        <v>43070</v>
      </c>
      <c r="B415">
        <v>43356</v>
      </c>
      <c r="C415" t="s">
        <v>79</v>
      </c>
      <c r="D415" t="s">
        <v>29</v>
      </c>
      <c r="E415" t="s">
        <v>30</v>
      </c>
      <c r="F415" s="5">
        <v>22</v>
      </c>
      <c r="G415" t="str">
        <f>IF(Data[[#This Row],[Age]]&lt;25,"Under 25",IF(Data[[#This Row],[Age]]&lt;35,"25–34",IF(Data[[#This Row],[Age]]&lt;45,"35–44",IF(Data[[#This Row],[Age]]&lt;55,"45–54","55+"))))</f>
        <v>Under 25</v>
      </c>
      <c r="H415" t="s">
        <v>46</v>
      </c>
      <c r="I415" t="s">
        <v>56</v>
      </c>
      <c r="J415" t="s">
        <v>35</v>
      </c>
      <c r="K415" s="1">
        <v>40058</v>
      </c>
      <c r="M415" s="1" t="str">
        <f>IF(ISBLANK(Data[[#This Row],[EndDate]]),"Active","InActive")</f>
        <v>Active</v>
      </c>
      <c r="N415" t="s">
        <v>57</v>
      </c>
      <c r="O415" t="s">
        <v>21</v>
      </c>
      <c r="P415" t="s">
        <v>32</v>
      </c>
      <c r="Q415" s="2">
        <v>7337</v>
      </c>
    </row>
    <row r="416" spans="1:17" x14ac:dyDescent="0.2">
      <c r="A416" s="1">
        <v>43435</v>
      </c>
      <c r="B416">
        <v>41388</v>
      </c>
      <c r="C416" t="s">
        <v>79</v>
      </c>
      <c r="D416" t="s">
        <v>50</v>
      </c>
      <c r="E416" t="s">
        <v>51</v>
      </c>
      <c r="F416" s="5">
        <v>22</v>
      </c>
      <c r="G416" t="str">
        <f>IF(Data[[#This Row],[Age]]&lt;25,"Under 25",IF(Data[[#This Row],[Age]]&lt;35,"25–34",IF(Data[[#This Row],[Age]]&lt;45,"35–44",IF(Data[[#This Row],[Age]]&lt;55,"45–54","55+"))))</f>
        <v>Under 25</v>
      </c>
      <c r="H416" t="s">
        <v>46</v>
      </c>
      <c r="I416" t="s">
        <v>56</v>
      </c>
      <c r="J416" t="s">
        <v>35</v>
      </c>
      <c r="K416" s="1">
        <v>41451</v>
      </c>
      <c r="M416" s="1" t="str">
        <f>IF(ISBLANK(Data[[#This Row],[EndDate]]),"Active","InActive")</f>
        <v>Active</v>
      </c>
      <c r="N416" t="s">
        <v>57</v>
      </c>
      <c r="O416" t="s">
        <v>21</v>
      </c>
      <c r="P416" t="s">
        <v>40</v>
      </c>
      <c r="Q416" s="2">
        <v>1276</v>
      </c>
    </row>
    <row r="417" spans="1:17" x14ac:dyDescent="0.2">
      <c r="A417" s="1">
        <v>43435</v>
      </c>
      <c r="B417">
        <v>54356</v>
      </c>
      <c r="C417" t="s">
        <v>80</v>
      </c>
      <c r="D417" t="s">
        <v>50</v>
      </c>
      <c r="E417" t="s">
        <v>63</v>
      </c>
      <c r="F417" s="5">
        <v>22</v>
      </c>
      <c r="G417" t="str">
        <f>IF(Data[[#This Row],[Age]]&lt;25,"Under 25",IF(Data[[#This Row],[Age]]&lt;35,"25–34",IF(Data[[#This Row],[Age]]&lt;45,"35–44",IF(Data[[#This Row],[Age]]&lt;55,"45–54","55+"))))</f>
        <v>Under 25</v>
      </c>
      <c r="H417" t="s">
        <v>34</v>
      </c>
      <c r="I417" t="s">
        <v>56</v>
      </c>
      <c r="J417" t="s">
        <v>35</v>
      </c>
      <c r="K417" s="1">
        <v>41026</v>
      </c>
      <c r="M417" s="1" t="str">
        <f>IF(ISBLANK(Data[[#This Row],[EndDate]]),"Active","InActive")</f>
        <v>Active</v>
      </c>
      <c r="N417" t="s">
        <v>57</v>
      </c>
      <c r="O417" t="s">
        <v>21</v>
      </c>
      <c r="P417" t="s">
        <v>40</v>
      </c>
      <c r="Q417" s="2">
        <v>8448</v>
      </c>
    </row>
    <row r="418" spans="1:17" x14ac:dyDescent="0.2">
      <c r="A418" s="1">
        <v>42705</v>
      </c>
      <c r="B418">
        <v>100620</v>
      </c>
      <c r="C418" t="s">
        <v>79</v>
      </c>
      <c r="D418" t="s">
        <v>23</v>
      </c>
      <c r="E418" t="s">
        <v>65</v>
      </c>
      <c r="F418" s="5">
        <v>22</v>
      </c>
      <c r="G418" t="str">
        <f>IF(Data[[#This Row],[Age]]&lt;25,"Under 25",IF(Data[[#This Row],[Age]]&lt;35,"25–34",IF(Data[[#This Row],[Age]]&lt;45,"35–44",IF(Data[[#This Row],[Age]]&lt;55,"45–54","55+"))))</f>
        <v>Under 25</v>
      </c>
      <c r="H418" t="s">
        <v>17</v>
      </c>
      <c r="I418" t="s">
        <v>18</v>
      </c>
      <c r="J418" t="s">
        <v>35</v>
      </c>
      <c r="K418" s="1">
        <v>41223</v>
      </c>
      <c r="M418" s="1" t="str">
        <f>IF(ISBLANK(Data[[#This Row],[EndDate]]),"Active","InActive")</f>
        <v>Active</v>
      </c>
      <c r="N418" t="s">
        <v>20</v>
      </c>
      <c r="O418" t="s">
        <v>21</v>
      </c>
      <c r="P418" t="s">
        <v>22</v>
      </c>
      <c r="Q418" s="2">
        <v>5951</v>
      </c>
    </row>
    <row r="419" spans="1:17" x14ac:dyDescent="0.2">
      <c r="A419" s="1">
        <v>43070</v>
      </c>
      <c r="B419">
        <v>21618</v>
      </c>
      <c r="C419" t="s">
        <v>79</v>
      </c>
      <c r="D419" t="s">
        <v>38</v>
      </c>
      <c r="E419" t="s">
        <v>39</v>
      </c>
      <c r="F419" s="5">
        <v>22</v>
      </c>
      <c r="G419" t="str">
        <f>IF(Data[[#This Row],[Age]]&lt;25,"Under 25",IF(Data[[#This Row],[Age]]&lt;35,"25–34",IF(Data[[#This Row],[Age]]&lt;45,"35–44",IF(Data[[#This Row],[Age]]&lt;55,"45–54","55+"))))</f>
        <v>Under 25</v>
      </c>
      <c r="H419" t="s">
        <v>59</v>
      </c>
      <c r="I419" t="s">
        <v>18</v>
      </c>
      <c r="J419" t="s">
        <v>35</v>
      </c>
      <c r="K419" s="1">
        <v>41577</v>
      </c>
      <c r="M419" s="1" t="str">
        <f>IF(ISBLANK(Data[[#This Row],[EndDate]]),"Active","InActive")</f>
        <v>Active</v>
      </c>
      <c r="N419" t="s">
        <v>20</v>
      </c>
      <c r="O419" t="s">
        <v>21</v>
      </c>
      <c r="P419" t="s">
        <v>32</v>
      </c>
      <c r="Q419" s="2">
        <v>5610</v>
      </c>
    </row>
    <row r="420" spans="1:17" x14ac:dyDescent="0.2">
      <c r="A420" s="1">
        <v>43070</v>
      </c>
      <c r="B420">
        <v>25148</v>
      </c>
      <c r="C420" t="s">
        <v>79</v>
      </c>
      <c r="D420" t="s">
        <v>15</v>
      </c>
      <c r="E420" t="s">
        <v>70</v>
      </c>
      <c r="F420" s="5">
        <v>22</v>
      </c>
      <c r="G420" t="str">
        <f>IF(Data[[#This Row],[Age]]&lt;25,"Under 25",IF(Data[[#This Row],[Age]]&lt;35,"25–34",IF(Data[[#This Row],[Age]]&lt;45,"35–44",IF(Data[[#This Row],[Age]]&lt;55,"45–54","55+"))))</f>
        <v>Under 25</v>
      </c>
      <c r="H420" t="s">
        <v>59</v>
      </c>
      <c r="I420" t="s">
        <v>18</v>
      </c>
      <c r="J420" t="s">
        <v>35</v>
      </c>
      <c r="K420" s="1">
        <v>41591</v>
      </c>
      <c r="M420" s="1" t="str">
        <f>IF(ISBLANK(Data[[#This Row],[EndDate]]),"Active","InActive")</f>
        <v>Active</v>
      </c>
      <c r="N420" t="s">
        <v>20</v>
      </c>
      <c r="O420" t="s">
        <v>21</v>
      </c>
      <c r="P420" t="s">
        <v>32</v>
      </c>
      <c r="Q420" s="2">
        <v>9394</v>
      </c>
    </row>
    <row r="421" spans="1:17" x14ac:dyDescent="0.2">
      <c r="A421" s="1">
        <v>43070</v>
      </c>
      <c r="B421">
        <v>28266</v>
      </c>
      <c r="C421" t="s">
        <v>79</v>
      </c>
      <c r="D421" t="s">
        <v>29</v>
      </c>
      <c r="E421" t="s">
        <v>30</v>
      </c>
      <c r="F421" s="5">
        <v>22</v>
      </c>
      <c r="G421" t="str">
        <f>IF(Data[[#This Row],[Age]]&lt;25,"Under 25",IF(Data[[#This Row],[Age]]&lt;35,"25–34",IF(Data[[#This Row],[Age]]&lt;45,"35–44",IF(Data[[#This Row],[Age]]&lt;55,"45–54","55+"))))</f>
        <v>Under 25</v>
      </c>
      <c r="H421" t="s">
        <v>25</v>
      </c>
      <c r="I421" t="s">
        <v>18</v>
      </c>
      <c r="J421" t="s">
        <v>35</v>
      </c>
      <c r="K421" s="1">
        <v>41529</v>
      </c>
      <c r="M421" s="1" t="str">
        <f>IF(ISBLANK(Data[[#This Row],[EndDate]]),"Active","InActive")</f>
        <v>Active</v>
      </c>
      <c r="N421" t="s">
        <v>20</v>
      </c>
      <c r="O421" t="s">
        <v>21</v>
      </c>
      <c r="P421" t="s">
        <v>32</v>
      </c>
      <c r="Q421" s="2">
        <v>8624</v>
      </c>
    </row>
    <row r="422" spans="1:17" x14ac:dyDescent="0.2">
      <c r="A422" s="1">
        <v>43070</v>
      </c>
      <c r="B422">
        <v>28738</v>
      </c>
      <c r="C422" t="s">
        <v>79</v>
      </c>
      <c r="D422" t="s">
        <v>15</v>
      </c>
      <c r="E422" t="s">
        <v>16</v>
      </c>
      <c r="F422" s="5">
        <v>22</v>
      </c>
      <c r="G422" t="str">
        <f>IF(Data[[#This Row],[Age]]&lt;25,"Under 25",IF(Data[[#This Row],[Age]]&lt;35,"25–34",IF(Data[[#This Row],[Age]]&lt;45,"35–44",IF(Data[[#This Row],[Age]]&lt;55,"45–54","55+"))))</f>
        <v>Under 25</v>
      </c>
      <c r="H422" t="s">
        <v>17</v>
      </c>
      <c r="I422" t="s">
        <v>18</v>
      </c>
      <c r="J422" t="s">
        <v>35</v>
      </c>
      <c r="K422" s="1">
        <v>41168</v>
      </c>
      <c r="M422" s="1" t="str">
        <f>IF(ISBLANK(Data[[#This Row],[EndDate]]),"Active","InActive")</f>
        <v>Active</v>
      </c>
      <c r="N422" t="s">
        <v>20</v>
      </c>
      <c r="O422" t="s">
        <v>21</v>
      </c>
      <c r="P422" t="s">
        <v>32</v>
      </c>
      <c r="Q422" s="2">
        <v>2145</v>
      </c>
    </row>
    <row r="423" spans="1:17" x14ac:dyDescent="0.2">
      <c r="A423" s="1">
        <v>43070</v>
      </c>
      <c r="B423">
        <v>49932</v>
      </c>
      <c r="C423" t="s">
        <v>79</v>
      </c>
      <c r="D423" t="s">
        <v>50</v>
      </c>
      <c r="E423" t="s">
        <v>63</v>
      </c>
      <c r="F423" s="5">
        <v>22</v>
      </c>
      <c r="G423" t="str">
        <f>IF(Data[[#This Row],[Age]]&lt;25,"Under 25",IF(Data[[#This Row],[Age]]&lt;35,"25–34",IF(Data[[#This Row],[Age]]&lt;45,"35–44",IF(Data[[#This Row],[Age]]&lt;55,"45–54","55+"))))</f>
        <v>Under 25</v>
      </c>
      <c r="H423" t="s">
        <v>34</v>
      </c>
      <c r="I423" t="s">
        <v>18</v>
      </c>
      <c r="J423" t="s">
        <v>35</v>
      </c>
      <c r="K423" s="1">
        <v>41565</v>
      </c>
      <c r="M423" s="1" t="str">
        <f>IF(ISBLANK(Data[[#This Row],[EndDate]]),"Active","InActive")</f>
        <v>Active</v>
      </c>
      <c r="N423" t="s">
        <v>20</v>
      </c>
      <c r="O423" t="s">
        <v>21</v>
      </c>
      <c r="P423" t="s">
        <v>32</v>
      </c>
      <c r="Q423" s="2">
        <v>10175</v>
      </c>
    </row>
    <row r="424" spans="1:17" x14ac:dyDescent="0.2">
      <c r="A424" s="1">
        <v>43435</v>
      </c>
      <c r="B424">
        <v>50406</v>
      </c>
      <c r="C424" t="s">
        <v>79</v>
      </c>
      <c r="D424" t="s">
        <v>15</v>
      </c>
      <c r="E424" t="s">
        <v>58</v>
      </c>
      <c r="F424" s="5">
        <v>22</v>
      </c>
      <c r="G424" t="str">
        <f>IF(Data[[#This Row],[Age]]&lt;25,"Under 25",IF(Data[[#This Row],[Age]]&lt;35,"25–34",IF(Data[[#This Row],[Age]]&lt;45,"35–44",IF(Data[[#This Row],[Age]]&lt;55,"45–54","55+"))))</f>
        <v>Under 25</v>
      </c>
      <c r="H424" t="s">
        <v>17</v>
      </c>
      <c r="I424" t="s">
        <v>18</v>
      </c>
      <c r="J424" t="s">
        <v>35</v>
      </c>
      <c r="K424" s="1">
        <v>41906</v>
      </c>
      <c r="M424" s="1" t="str">
        <f>IF(ISBLANK(Data[[#This Row],[EndDate]]),"Active","InActive")</f>
        <v>Active</v>
      </c>
      <c r="N424" t="s">
        <v>20</v>
      </c>
      <c r="O424" t="s">
        <v>21</v>
      </c>
      <c r="P424" t="s">
        <v>40</v>
      </c>
      <c r="Q424" s="2">
        <v>4587</v>
      </c>
    </row>
    <row r="425" spans="1:17" x14ac:dyDescent="0.2">
      <c r="A425" s="1">
        <v>43435</v>
      </c>
      <c r="B425">
        <v>51580</v>
      </c>
      <c r="C425" t="s">
        <v>79</v>
      </c>
      <c r="D425" t="s">
        <v>41</v>
      </c>
      <c r="E425" t="s">
        <v>62</v>
      </c>
      <c r="F425" s="5">
        <v>22</v>
      </c>
      <c r="G425" t="str">
        <f>IF(Data[[#This Row],[Age]]&lt;25,"Under 25",IF(Data[[#This Row],[Age]]&lt;35,"25–34",IF(Data[[#This Row],[Age]]&lt;45,"35–44",IF(Data[[#This Row],[Age]]&lt;55,"45–54","55+"))))</f>
        <v>Under 25</v>
      </c>
      <c r="H425" t="s">
        <v>49</v>
      </c>
      <c r="I425" t="s">
        <v>18</v>
      </c>
      <c r="J425" t="s">
        <v>35</v>
      </c>
      <c r="K425" s="1">
        <v>41928</v>
      </c>
      <c r="M425" s="1" t="str">
        <f>IF(ISBLANK(Data[[#This Row],[EndDate]]),"Active","InActive")</f>
        <v>Active</v>
      </c>
      <c r="N425" t="s">
        <v>20</v>
      </c>
      <c r="O425" t="s">
        <v>21</v>
      </c>
      <c r="P425" t="s">
        <v>40</v>
      </c>
      <c r="Q425" s="2">
        <v>5533</v>
      </c>
    </row>
    <row r="426" spans="1:17" x14ac:dyDescent="0.2">
      <c r="A426" s="1">
        <v>43435</v>
      </c>
      <c r="B426">
        <v>53616</v>
      </c>
      <c r="C426" t="s">
        <v>79</v>
      </c>
      <c r="D426" t="s">
        <v>29</v>
      </c>
      <c r="E426" t="s">
        <v>33</v>
      </c>
      <c r="F426" s="5">
        <v>22</v>
      </c>
      <c r="G426" t="str">
        <f>IF(Data[[#This Row],[Age]]&lt;25,"Under 25",IF(Data[[#This Row],[Age]]&lt;35,"25–34",IF(Data[[#This Row],[Age]]&lt;45,"35–44",IF(Data[[#This Row],[Age]]&lt;55,"45–54","55+"))))</f>
        <v>Under 25</v>
      </c>
      <c r="H426" t="s">
        <v>59</v>
      </c>
      <c r="I426" t="s">
        <v>18</v>
      </c>
      <c r="J426" t="s">
        <v>35</v>
      </c>
      <c r="K426" s="1">
        <v>41501</v>
      </c>
      <c r="M426" s="1" t="str">
        <f>IF(ISBLANK(Data[[#This Row],[EndDate]]),"Active","InActive")</f>
        <v>Active</v>
      </c>
      <c r="N426" t="s">
        <v>20</v>
      </c>
      <c r="O426" t="s">
        <v>21</v>
      </c>
      <c r="P426" t="s">
        <v>40</v>
      </c>
      <c r="Q426" s="2">
        <v>6259</v>
      </c>
    </row>
    <row r="427" spans="1:17" x14ac:dyDescent="0.2">
      <c r="A427" s="1">
        <v>43070</v>
      </c>
      <c r="B427">
        <v>23394</v>
      </c>
      <c r="C427" t="s">
        <v>80</v>
      </c>
      <c r="D427" t="s">
        <v>15</v>
      </c>
      <c r="E427" t="s">
        <v>70</v>
      </c>
      <c r="F427" s="5">
        <v>22</v>
      </c>
      <c r="G427" t="str">
        <f>IF(Data[[#This Row],[Age]]&lt;25,"Under 25",IF(Data[[#This Row],[Age]]&lt;35,"25–34",IF(Data[[#This Row],[Age]]&lt;45,"35–44",IF(Data[[#This Row],[Age]]&lt;55,"45–54","55+"))))</f>
        <v>Under 25</v>
      </c>
      <c r="H427" t="s">
        <v>46</v>
      </c>
      <c r="I427" t="s">
        <v>18</v>
      </c>
      <c r="J427" t="s">
        <v>35</v>
      </c>
      <c r="K427" s="1">
        <v>41174</v>
      </c>
      <c r="M427" s="1" t="str">
        <f>IF(ISBLANK(Data[[#This Row],[EndDate]]),"Active","InActive")</f>
        <v>Active</v>
      </c>
      <c r="N427" t="s">
        <v>20</v>
      </c>
      <c r="O427" t="s">
        <v>21</v>
      </c>
      <c r="P427" t="s">
        <v>32</v>
      </c>
      <c r="Q427" s="2">
        <v>2783</v>
      </c>
    </row>
    <row r="428" spans="1:17" x14ac:dyDescent="0.2">
      <c r="A428" s="1">
        <v>43070</v>
      </c>
      <c r="B428">
        <v>28222</v>
      </c>
      <c r="C428" t="s">
        <v>80</v>
      </c>
      <c r="D428" t="s">
        <v>38</v>
      </c>
      <c r="E428" t="s">
        <v>61</v>
      </c>
      <c r="F428" s="5">
        <v>22</v>
      </c>
      <c r="G428" t="str">
        <f>IF(Data[[#This Row],[Age]]&lt;25,"Under 25",IF(Data[[#This Row],[Age]]&lt;35,"25–34",IF(Data[[#This Row],[Age]]&lt;45,"35–44",IF(Data[[#This Row],[Age]]&lt;55,"45–54","55+"))))</f>
        <v>Under 25</v>
      </c>
      <c r="H428" t="s">
        <v>31</v>
      </c>
      <c r="I428" t="s">
        <v>18</v>
      </c>
      <c r="J428" t="s">
        <v>35</v>
      </c>
      <c r="K428" s="1">
        <v>41563</v>
      </c>
      <c r="M428" s="1" t="str">
        <f>IF(ISBLANK(Data[[#This Row],[EndDate]]),"Active","InActive")</f>
        <v>Active</v>
      </c>
      <c r="N428" t="s">
        <v>20</v>
      </c>
      <c r="O428" t="s">
        <v>21</v>
      </c>
      <c r="P428" t="s">
        <v>32</v>
      </c>
      <c r="Q428" s="2">
        <v>6963</v>
      </c>
    </row>
    <row r="429" spans="1:17" x14ac:dyDescent="0.2">
      <c r="A429" s="1">
        <v>43435</v>
      </c>
      <c r="B429">
        <v>51296</v>
      </c>
      <c r="C429" t="s">
        <v>80</v>
      </c>
      <c r="D429" t="s">
        <v>15</v>
      </c>
      <c r="E429" t="s">
        <v>58</v>
      </c>
      <c r="F429" s="5">
        <v>22</v>
      </c>
      <c r="G429" t="str">
        <f>IF(Data[[#This Row],[Age]]&lt;25,"Under 25",IF(Data[[#This Row],[Age]]&lt;35,"25–34",IF(Data[[#This Row],[Age]]&lt;45,"35–44",IF(Data[[#This Row],[Age]]&lt;55,"45–54","55+"))))</f>
        <v>Under 25</v>
      </c>
      <c r="H429" t="s">
        <v>59</v>
      </c>
      <c r="I429" t="s">
        <v>18</v>
      </c>
      <c r="J429" t="s">
        <v>35</v>
      </c>
      <c r="K429" s="1">
        <v>41822</v>
      </c>
      <c r="M429" s="1" t="str">
        <f>IF(ISBLANK(Data[[#This Row],[EndDate]]),"Active","InActive")</f>
        <v>Active</v>
      </c>
      <c r="N429" t="s">
        <v>20</v>
      </c>
      <c r="O429" t="s">
        <v>21</v>
      </c>
      <c r="P429" t="s">
        <v>40</v>
      </c>
      <c r="Q429" s="2">
        <v>3762</v>
      </c>
    </row>
    <row r="430" spans="1:17" x14ac:dyDescent="0.2">
      <c r="A430" s="1">
        <v>43435</v>
      </c>
      <c r="B430">
        <v>52668</v>
      </c>
      <c r="C430" t="s">
        <v>80</v>
      </c>
      <c r="D430" t="s">
        <v>29</v>
      </c>
      <c r="E430" t="s">
        <v>36</v>
      </c>
      <c r="F430" s="5">
        <v>22</v>
      </c>
      <c r="G430" t="str">
        <f>IF(Data[[#This Row],[Age]]&lt;25,"Under 25",IF(Data[[#This Row],[Age]]&lt;35,"25–34",IF(Data[[#This Row],[Age]]&lt;45,"35–44",IF(Data[[#This Row],[Age]]&lt;55,"45–54","55+"))))</f>
        <v>Under 25</v>
      </c>
      <c r="H430" t="s">
        <v>59</v>
      </c>
      <c r="I430" t="s">
        <v>18</v>
      </c>
      <c r="J430" t="s">
        <v>35</v>
      </c>
      <c r="K430" s="1">
        <v>41775</v>
      </c>
      <c r="M430" s="1" t="str">
        <f>IF(ISBLANK(Data[[#This Row],[EndDate]]),"Active","InActive")</f>
        <v>Active</v>
      </c>
      <c r="N430" t="s">
        <v>20</v>
      </c>
      <c r="O430" t="s">
        <v>21</v>
      </c>
      <c r="P430" t="s">
        <v>40</v>
      </c>
      <c r="Q430" s="2">
        <v>5511</v>
      </c>
    </row>
    <row r="431" spans="1:17" x14ac:dyDescent="0.2">
      <c r="A431" s="1">
        <v>43435</v>
      </c>
      <c r="B431">
        <v>55730</v>
      </c>
      <c r="C431" t="s">
        <v>80</v>
      </c>
      <c r="D431" t="s">
        <v>15</v>
      </c>
      <c r="E431" t="s">
        <v>70</v>
      </c>
      <c r="F431" s="5">
        <v>22</v>
      </c>
      <c r="G431" t="str">
        <f>IF(Data[[#This Row],[Age]]&lt;25,"Under 25",IF(Data[[#This Row],[Age]]&lt;35,"25–34",IF(Data[[#This Row],[Age]]&lt;45,"35–44",IF(Data[[#This Row],[Age]]&lt;55,"45–54","55+"))))</f>
        <v>Under 25</v>
      </c>
      <c r="H431" t="s">
        <v>49</v>
      </c>
      <c r="I431" t="s">
        <v>18</v>
      </c>
      <c r="J431" t="s">
        <v>35</v>
      </c>
      <c r="K431" s="1">
        <v>40417</v>
      </c>
      <c r="M431" s="1" t="str">
        <f>IF(ISBLANK(Data[[#This Row],[EndDate]]),"Active","InActive")</f>
        <v>Active</v>
      </c>
      <c r="N431" t="s">
        <v>20</v>
      </c>
      <c r="O431" t="s">
        <v>21</v>
      </c>
      <c r="P431" t="s">
        <v>40</v>
      </c>
      <c r="Q431" s="2">
        <v>9185</v>
      </c>
    </row>
    <row r="432" spans="1:17" x14ac:dyDescent="0.2">
      <c r="A432" s="1">
        <v>42705</v>
      </c>
      <c r="B432">
        <v>110202</v>
      </c>
      <c r="C432" t="s">
        <v>79</v>
      </c>
      <c r="D432" t="s">
        <v>43</v>
      </c>
      <c r="E432" t="s">
        <v>60</v>
      </c>
      <c r="F432" s="5">
        <v>22</v>
      </c>
      <c r="G432" t="str">
        <f>IF(Data[[#This Row],[Age]]&lt;25,"Under 25",IF(Data[[#This Row],[Age]]&lt;35,"25–34",IF(Data[[#This Row],[Age]]&lt;45,"35–44",IF(Data[[#This Row],[Age]]&lt;55,"45–54","55+"))))</f>
        <v>Under 25</v>
      </c>
      <c r="H432" t="s">
        <v>46</v>
      </c>
      <c r="I432" t="s">
        <v>18</v>
      </c>
      <c r="J432" t="s">
        <v>19</v>
      </c>
      <c r="K432" s="1">
        <v>41206</v>
      </c>
      <c r="M432" s="1" t="str">
        <f>IF(ISBLANK(Data[[#This Row],[EndDate]]),"Active","InActive")</f>
        <v>Active</v>
      </c>
      <c r="N432" t="s">
        <v>20</v>
      </c>
      <c r="O432" t="s">
        <v>21</v>
      </c>
      <c r="P432" t="s">
        <v>22</v>
      </c>
      <c r="Q432" s="2">
        <v>8701</v>
      </c>
    </row>
    <row r="433" spans="1:17" x14ac:dyDescent="0.2">
      <c r="A433" s="1">
        <v>43070</v>
      </c>
      <c r="B433">
        <v>24502</v>
      </c>
      <c r="C433" t="s">
        <v>79</v>
      </c>
      <c r="D433" t="s">
        <v>29</v>
      </c>
      <c r="E433" t="s">
        <v>33</v>
      </c>
      <c r="F433" s="5">
        <v>22</v>
      </c>
      <c r="G433" t="str">
        <f>IF(Data[[#This Row],[Age]]&lt;25,"Under 25",IF(Data[[#This Row],[Age]]&lt;35,"25–34",IF(Data[[#This Row],[Age]]&lt;45,"35–44",IF(Data[[#This Row],[Age]]&lt;55,"45–54","55+"))))</f>
        <v>Under 25</v>
      </c>
      <c r="H433" t="s">
        <v>25</v>
      </c>
      <c r="I433" t="s">
        <v>18</v>
      </c>
      <c r="J433" t="s">
        <v>19</v>
      </c>
      <c r="K433" s="1">
        <v>41534</v>
      </c>
      <c r="M433" s="1" t="str">
        <f>IF(ISBLANK(Data[[#This Row],[EndDate]]),"Active","InActive")</f>
        <v>Active</v>
      </c>
      <c r="N433" t="s">
        <v>20</v>
      </c>
      <c r="O433" t="s">
        <v>21</v>
      </c>
      <c r="P433" t="s">
        <v>32</v>
      </c>
      <c r="Q433" s="2">
        <v>9559</v>
      </c>
    </row>
    <row r="434" spans="1:17" x14ac:dyDescent="0.2">
      <c r="A434" s="1">
        <v>43435</v>
      </c>
      <c r="B434">
        <v>52784</v>
      </c>
      <c r="C434" t="s">
        <v>80</v>
      </c>
      <c r="D434" t="s">
        <v>27</v>
      </c>
      <c r="E434" t="s">
        <v>28</v>
      </c>
      <c r="F434" s="5">
        <v>22</v>
      </c>
      <c r="G434" t="str">
        <f>IF(Data[[#This Row],[Age]]&lt;25,"Under 25",IF(Data[[#This Row],[Age]]&lt;35,"25–34",IF(Data[[#This Row],[Age]]&lt;45,"35–44",IF(Data[[#This Row],[Age]]&lt;55,"45–54","55+"))))</f>
        <v>Under 25</v>
      </c>
      <c r="H434" t="s">
        <v>59</v>
      </c>
      <c r="I434" t="s">
        <v>18</v>
      </c>
      <c r="J434" t="s">
        <v>19</v>
      </c>
      <c r="K434" s="1">
        <v>41933</v>
      </c>
      <c r="M434" s="1" t="str">
        <f>IF(ISBLANK(Data[[#This Row],[EndDate]]),"Active","InActive")</f>
        <v>Active</v>
      </c>
      <c r="N434" t="s">
        <v>20</v>
      </c>
      <c r="O434" t="s">
        <v>21</v>
      </c>
      <c r="P434" t="s">
        <v>40</v>
      </c>
      <c r="Q434" s="2">
        <v>9548</v>
      </c>
    </row>
    <row r="435" spans="1:17" x14ac:dyDescent="0.2">
      <c r="A435" s="1">
        <v>43435</v>
      </c>
      <c r="B435">
        <v>96136</v>
      </c>
      <c r="C435" t="s">
        <v>79</v>
      </c>
      <c r="D435" t="s">
        <v>23</v>
      </c>
      <c r="E435" t="s">
        <v>71</v>
      </c>
      <c r="F435" s="5">
        <v>22</v>
      </c>
      <c r="G435" t="str">
        <f>IF(Data[[#This Row],[Age]]&lt;25,"Under 25",IF(Data[[#This Row],[Age]]&lt;35,"25–34",IF(Data[[#This Row],[Age]]&lt;45,"35–44",IF(Data[[#This Row],[Age]]&lt;55,"45–54","55+"))))</f>
        <v>Under 25</v>
      </c>
      <c r="H435" t="s">
        <v>25</v>
      </c>
      <c r="I435" t="s">
        <v>18</v>
      </c>
      <c r="J435" t="s">
        <v>19</v>
      </c>
      <c r="K435" s="1">
        <v>41968</v>
      </c>
      <c r="M435" s="1" t="str">
        <f>IF(ISBLANK(Data[[#This Row],[EndDate]]),"Active","InActive")</f>
        <v>Active</v>
      </c>
      <c r="N435" t="s">
        <v>20</v>
      </c>
      <c r="O435" t="s">
        <v>21</v>
      </c>
      <c r="P435" t="s">
        <v>40</v>
      </c>
      <c r="Q435" s="2">
        <v>7359</v>
      </c>
    </row>
    <row r="436" spans="1:17" x14ac:dyDescent="0.2">
      <c r="A436" s="1">
        <v>43435</v>
      </c>
      <c r="B436">
        <v>96434</v>
      </c>
      <c r="C436" t="s">
        <v>79</v>
      </c>
      <c r="D436" t="s">
        <v>23</v>
      </c>
      <c r="E436" t="s">
        <v>24</v>
      </c>
      <c r="F436" s="5">
        <v>22</v>
      </c>
      <c r="G436" t="str">
        <f>IF(Data[[#This Row],[Age]]&lt;25,"Under 25",IF(Data[[#This Row],[Age]]&lt;35,"25–34",IF(Data[[#This Row],[Age]]&lt;45,"35–44",IF(Data[[#This Row],[Age]]&lt;55,"45–54","55+"))))</f>
        <v>Under 25</v>
      </c>
      <c r="H436" t="s">
        <v>31</v>
      </c>
      <c r="I436" t="s">
        <v>18</v>
      </c>
      <c r="J436" t="s">
        <v>19</v>
      </c>
      <c r="K436" s="1">
        <v>41954</v>
      </c>
      <c r="M436" s="1" t="str">
        <f>IF(ISBLANK(Data[[#This Row],[EndDate]]),"Active","InActive")</f>
        <v>Active</v>
      </c>
      <c r="N436" t="s">
        <v>20</v>
      </c>
      <c r="O436" t="s">
        <v>21</v>
      </c>
      <c r="P436" t="s">
        <v>40</v>
      </c>
      <c r="Q436" s="2">
        <v>9493</v>
      </c>
    </row>
    <row r="437" spans="1:17" x14ac:dyDescent="0.2">
      <c r="A437" s="1">
        <v>43435</v>
      </c>
      <c r="B437">
        <v>96452</v>
      </c>
      <c r="C437" t="s">
        <v>80</v>
      </c>
      <c r="D437" t="s">
        <v>23</v>
      </c>
      <c r="E437" t="s">
        <v>65</v>
      </c>
      <c r="F437" s="5">
        <v>22</v>
      </c>
      <c r="G437" t="str">
        <f>IF(Data[[#This Row],[Age]]&lt;25,"Under 25",IF(Data[[#This Row],[Age]]&lt;35,"25–34",IF(Data[[#This Row],[Age]]&lt;45,"35–44",IF(Data[[#This Row],[Age]]&lt;55,"45–54","55+"))))</f>
        <v>Under 25</v>
      </c>
      <c r="H437" t="s">
        <v>34</v>
      </c>
      <c r="I437" t="s">
        <v>18</v>
      </c>
      <c r="J437" t="s">
        <v>19</v>
      </c>
      <c r="K437" s="1">
        <v>41954</v>
      </c>
      <c r="M437" s="1" t="str">
        <f>IF(ISBLANK(Data[[#This Row],[EndDate]]),"Active","InActive")</f>
        <v>Active</v>
      </c>
      <c r="N437" t="s">
        <v>20</v>
      </c>
      <c r="O437" t="s">
        <v>21</v>
      </c>
      <c r="P437" t="s">
        <v>40</v>
      </c>
      <c r="Q437" s="2">
        <v>10230</v>
      </c>
    </row>
    <row r="438" spans="1:17" x14ac:dyDescent="0.2">
      <c r="A438" s="1">
        <v>42705</v>
      </c>
      <c r="B438">
        <v>104286</v>
      </c>
      <c r="C438" t="s">
        <v>80</v>
      </c>
      <c r="D438" t="s">
        <v>38</v>
      </c>
      <c r="E438" t="s">
        <v>39</v>
      </c>
      <c r="F438" s="5">
        <v>22</v>
      </c>
      <c r="G438" t="str">
        <f>IF(Data[[#This Row],[Age]]&lt;25,"Under 25",IF(Data[[#This Row],[Age]]&lt;35,"25–34",IF(Data[[#This Row],[Age]]&lt;45,"35–44",IF(Data[[#This Row],[Age]]&lt;55,"45–54","55+"))))</f>
        <v>Under 25</v>
      </c>
      <c r="H438" t="s">
        <v>34</v>
      </c>
      <c r="I438" t="s">
        <v>18</v>
      </c>
      <c r="J438" t="s">
        <v>37</v>
      </c>
      <c r="K438" s="1">
        <v>41207</v>
      </c>
      <c r="M438" s="1" t="str">
        <f>IF(ISBLANK(Data[[#This Row],[EndDate]]),"Active","InActive")</f>
        <v>Active</v>
      </c>
      <c r="N438" t="s">
        <v>20</v>
      </c>
      <c r="O438" t="s">
        <v>21</v>
      </c>
      <c r="P438" t="s">
        <v>22</v>
      </c>
      <c r="Q438" s="2">
        <v>2233</v>
      </c>
    </row>
    <row r="439" spans="1:17" x14ac:dyDescent="0.2">
      <c r="A439" s="1">
        <v>42705</v>
      </c>
      <c r="B439">
        <v>41058</v>
      </c>
      <c r="C439" t="s">
        <v>79</v>
      </c>
      <c r="D439" t="s">
        <v>47</v>
      </c>
      <c r="E439" t="s">
        <v>48</v>
      </c>
      <c r="F439" s="5">
        <v>22</v>
      </c>
      <c r="G439" t="str">
        <f>IF(Data[[#This Row],[Age]]&lt;25,"Under 25",IF(Data[[#This Row],[Age]]&lt;35,"25–34",IF(Data[[#This Row],[Age]]&lt;45,"35–44",IF(Data[[#This Row],[Age]]&lt;55,"45–54","55+"))))</f>
        <v>Under 25</v>
      </c>
      <c r="H439" t="s">
        <v>59</v>
      </c>
      <c r="I439" t="s">
        <v>18</v>
      </c>
      <c r="J439" t="s">
        <v>37</v>
      </c>
      <c r="K439" s="1">
        <v>40842</v>
      </c>
      <c r="M439" s="1" t="str">
        <f>IF(ISBLANK(Data[[#This Row],[EndDate]]),"Active","InActive")</f>
        <v>Active</v>
      </c>
      <c r="N439" t="s">
        <v>20</v>
      </c>
      <c r="O439" t="s">
        <v>21</v>
      </c>
      <c r="P439" t="s">
        <v>22</v>
      </c>
      <c r="Q439" s="2">
        <v>7612</v>
      </c>
    </row>
    <row r="440" spans="1:17" x14ac:dyDescent="0.2">
      <c r="A440" s="1">
        <v>43070</v>
      </c>
      <c r="B440">
        <v>2202</v>
      </c>
      <c r="C440" t="s">
        <v>79</v>
      </c>
      <c r="D440" t="s">
        <v>47</v>
      </c>
      <c r="E440" t="s">
        <v>48</v>
      </c>
      <c r="F440" s="5">
        <v>22</v>
      </c>
      <c r="G440" t="str">
        <f>IF(Data[[#This Row],[Age]]&lt;25,"Under 25",IF(Data[[#This Row],[Age]]&lt;35,"25–34",IF(Data[[#This Row],[Age]]&lt;45,"35–44",IF(Data[[#This Row],[Age]]&lt;55,"45–54","55+"))))</f>
        <v>Under 25</v>
      </c>
      <c r="H440" t="s">
        <v>59</v>
      </c>
      <c r="I440" t="s">
        <v>18</v>
      </c>
      <c r="J440" t="s">
        <v>37</v>
      </c>
      <c r="K440" s="1">
        <v>41578</v>
      </c>
      <c r="M440" s="1" t="str">
        <f>IF(ISBLANK(Data[[#This Row],[EndDate]]),"Active","InActive")</f>
        <v>Active</v>
      </c>
      <c r="N440" t="s">
        <v>20</v>
      </c>
      <c r="O440" t="s">
        <v>21</v>
      </c>
      <c r="P440" t="s">
        <v>32</v>
      </c>
      <c r="Q440" s="2">
        <v>5357</v>
      </c>
    </row>
    <row r="441" spans="1:17" x14ac:dyDescent="0.2">
      <c r="A441" s="1">
        <v>43070</v>
      </c>
      <c r="B441">
        <v>41082</v>
      </c>
      <c r="C441" t="s">
        <v>79</v>
      </c>
      <c r="D441" t="s">
        <v>23</v>
      </c>
      <c r="E441" t="s">
        <v>71</v>
      </c>
      <c r="F441" s="5">
        <v>22</v>
      </c>
      <c r="G441" t="str">
        <f>IF(Data[[#This Row],[Age]]&lt;25,"Under 25",IF(Data[[#This Row],[Age]]&lt;35,"25–34",IF(Data[[#This Row],[Age]]&lt;45,"35–44",IF(Data[[#This Row],[Age]]&lt;55,"45–54","55+"))))</f>
        <v>Under 25</v>
      </c>
      <c r="H441" t="s">
        <v>25</v>
      </c>
      <c r="I441" t="s">
        <v>18</v>
      </c>
      <c r="J441" t="s">
        <v>37</v>
      </c>
      <c r="K441" s="1">
        <v>40227</v>
      </c>
      <c r="L441" s="1">
        <v>40327</v>
      </c>
      <c r="M441" s="1" t="str">
        <f>IF(ISBLANK(Data[[#This Row],[EndDate]]),"Active","InActive")</f>
        <v>InActive</v>
      </c>
      <c r="N441" t="s">
        <v>20</v>
      </c>
      <c r="O441" t="s">
        <v>21</v>
      </c>
      <c r="P441" t="s">
        <v>32</v>
      </c>
      <c r="Q441" s="2">
        <v>8844</v>
      </c>
    </row>
    <row r="442" spans="1:17" x14ac:dyDescent="0.2">
      <c r="A442" s="1">
        <v>43070</v>
      </c>
      <c r="B442">
        <v>44032</v>
      </c>
      <c r="C442" t="s">
        <v>79</v>
      </c>
      <c r="D442" t="s">
        <v>29</v>
      </c>
      <c r="E442" t="s">
        <v>30</v>
      </c>
      <c r="F442" s="5">
        <v>22</v>
      </c>
      <c r="G442" t="str">
        <f>IF(Data[[#This Row],[Age]]&lt;25,"Under 25",IF(Data[[#This Row],[Age]]&lt;35,"25–34",IF(Data[[#This Row],[Age]]&lt;45,"35–44",IF(Data[[#This Row],[Age]]&lt;55,"45–54","55+"))))</f>
        <v>Under 25</v>
      </c>
      <c r="H442" t="s">
        <v>49</v>
      </c>
      <c r="I442" t="s">
        <v>18</v>
      </c>
      <c r="J442" t="s">
        <v>37</v>
      </c>
      <c r="K442" s="1">
        <v>41575</v>
      </c>
      <c r="M442" s="1" t="str">
        <f>IF(ISBLANK(Data[[#This Row],[EndDate]]),"Active","InActive")</f>
        <v>Active</v>
      </c>
      <c r="N442" t="s">
        <v>20</v>
      </c>
      <c r="O442" t="s">
        <v>21</v>
      </c>
      <c r="P442" t="s">
        <v>32</v>
      </c>
      <c r="Q442" s="2">
        <v>4026</v>
      </c>
    </row>
    <row r="443" spans="1:17" x14ac:dyDescent="0.2">
      <c r="A443" s="1">
        <v>43070</v>
      </c>
      <c r="B443">
        <v>50384</v>
      </c>
      <c r="C443" t="s">
        <v>79</v>
      </c>
      <c r="D443" t="s">
        <v>52</v>
      </c>
      <c r="E443" t="s">
        <v>69</v>
      </c>
      <c r="F443" s="5">
        <v>22</v>
      </c>
      <c r="G443" t="str">
        <f>IF(Data[[#This Row],[Age]]&lt;25,"Under 25",IF(Data[[#This Row],[Age]]&lt;35,"25–34",IF(Data[[#This Row],[Age]]&lt;45,"35–44",IF(Data[[#This Row],[Age]]&lt;55,"45–54","55+"))))</f>
        <v>Under 25</v>
      </c>
      <c r="H443" t="s">
        <v>49</v>
      </c>
      <c r="I443" t="s">
        <v>18</v>
      </c>
      <c r="J443" t="s">
        <v>37</v>
      </c>
      <c r="K443" s="1">
        <v>40799</v>
      </c>
      <c r="M443" s="1" t="str">
        <f>IF(ISBLANK(Data[[#This Row],[EndDate]]),"Active","InActive")</f>
        <v>Active</v>
      </c>
      <c r="N443" t="s">
        <v>20</v>
      </c>
      <c r="O443" t="s">
        <v>21</v>
      </c>
      <c r="P443" t="s">
        <v>32</v>
      </c>
      <c r="Q443" s="2">
        <v>5313</v>
      </c>
    </row>
    <row r="444" spans="1:17" x14ac:dyDescent="0.2">
      <c r="A444" s="1">
        <v>43070</v>
      </c>
      <c r="B444">
        <v>54528</v>
      </c>
      <c r="C444" t="s">
        <v>79</v>
      </c>
      <c r="D444" t="s">
        <v>41</v>
      </c>
      <c r="E444" t="s">
        <v>68</v>
      </c>
      <c r="F444" s="5">
        <v>22</v>
      </c>
      <c r="G444" t="str">
        <f>IF(Data[[#This Row],[Age]]&lt;25,"Under 25",IF(Data[[#This Row],[Age]]&lt;35,"25–34",IF(Data[[#This Row],[Age]]&lt;45,"35–44",IF(Data[[#This Row],[Age]]&lt;55,"45–54","55+"))))</f>
        <v>Under 25</v>
      </c>
      <c r="H444" t="s">
        <v>46</v>
      </c>
      <c r="I444" t="s">
        <v>18</v>
      </c>
      <c r="J444" t="s">
        <v>37</v>
      </c>
      <c r="K444" s="1">
        <v>40892</v>
      </c>
      <c r="M444" s="1" t="str">
        <f>IF(ISBLANK(Data[[#This Row],[EndDate]]),"Active","InActive")</f>
        <v>Active</v>
      </c>
      <c r="N444" t="s">
        <v>20</v>
      </c>
      <c r="O444" t="s">
        <v>21</v>
      </c>
      <c r="P444" t="s">
        <v>32</v>
      </c>
      <c r="Q444" s="2">
        <v>6743</v>
      </c>
    </row>
    <row r="445" spans="1:17" x14ac:dyDescent="0.2">
      <c r="A445" s="1">
        <v>43070</v>
      </c>
      <c r="B445">
        <v>54906</v>
      </c>
      <c r="C445" t="s">
        <v>79</v>
      </c>
      <c r="D445" t="s">
        <v>52</v>
      </c>
      <c r="E445" t="s">
        <v>53</v>
      </c>
      <c r="F445" s="5">
        <v>22</v>
      </c>
      <c r="G445" t="str">
        <f>IF(Data[[#This Row],[Age]]&lt;25,"Under 25",IF(Data[[#This Row],[Age]]&lt;35,"25–34",IF(Data[[#This Row],[Age]]&lt;45,"35–44",IF(Data[[#This Row],[Age]]&lt;55,"45–54","55+"))))</f>
        <v>Under 25</v>
      </c>
      <c r="H445" t="s">
        <v>25</v>
      </c>
      <c r="I445" t="s">
        <v>18</v>
      </c>
      <c r="J445" t="s">
        <v>37</v>
      </c>
      <c r="K445" s="1">
        <v>40983</v>
      </c>
      <c r="M445" s="1" t="str">
        <f>IF(ISBLANK(Data[[#This Row],[EndDate]]),"Active","InActive")</f>
        <v>Active</v>
      </c>
      <c r="N445" t="s">
        <v>20</v>
      </c>
      <c r="O445" t="s">
        <v>21</v>
      </c>
      <c r="P445" t="s">
        <v>32</v>
      </c>
      <c r="Q445" s="2">
        <v>5621</v>
      </c>
    </row>
    <row r="446" spans="1:17" x14ac:dyDescent="0.2">
      <c r="A446" s="1">
        <v>43435</v>
      </c>
      <c r="B446">
        <v>41292</v>
      </c>
      <c r="C446" t="s">
        <v>79</v>
      </c>
      <c r="D446" t="s">
        <v>47</v>
      </c>
      <c r="E446" t="s">
        <v>48</v>
      </c>
      <c r="F446" s="5">
        <v>22</v>
      </c>
      <c r="G446" t="str">
        <f>IF(Data[[#This Row],[Age]]&lt;25,"Under 25",IF(Data[[#This Row],[Age]]&lt;35,"25–34",IF(Data[[#This Row],[Age]]&lt;45,"35–44",IF(Data[[#This Row],[Age]]&lt;55,"45–54","55+"))))</f>
        <v>Under 25</v>
      </c>
      <c r="H446" t="s">
        <v>31</v>
      </c>
      <c r="I446" t="s">
        <v>18</v>
      </c>
      <c r="J446" t="s">
        <v>37</v>
      </c>
      <c r="K446" s="1">
        <v>41216</v>
      </c>
      <c r="M446" s="1" t="str">
        <f>IF(ISBLANK(Data[[#This Row],[EndDate]]),"Active","InActive")</f>
        <v>Active</v>
      </c>
      <c r="N446" t="s">
        <v>20</v>
      </c>
      <c r="O446" t="s">
        <v>21</v>
      </c>
      <c r="P446" t="s">
        <v>40</v>
      </c>
      <c r="Q446" s="2">
        <v>7601</v>
      </c>
    </row>
    <row r="447" spans="1:17" x14ac:dyDescent="0.2">
      <c r="A447" s="1">
        <v>43435</v>
      </c>
      <c r="B447">
        <v>43788</v>
      </c>
      <c r="C447" t="s">
        <v>79</v>
      </c>
      <c r="D447" t="s">
        <v>23</v>
      </c>
      <c r="E447" t="s">
        <v>24</v>
      </c>
      <c r="F447" s="5">
        <v>22</v>
      </c>
      <c r="G447" t="str">
        <f>IF(Data[[#This Row],[Age]]&lt;25,"Under 25",IF(Data[[#This Row],[Age]]&lt;35,"25–34",IF(Data[[#This Row],[Age]]&lt;45,"35–44",IF(Data[[#This Row],[Age]]&lt;55,"45–54","55+"))))</f>
        <v>Under 25</v>
      </c>
      <c r="H447" t="s">
        <v>34</v>
      </c>
      <c r="I447" t="s">
        <v>18</v>
      </c>
      <c r="J447" t="s">
        <v>37</v>
      </c>
      <c r="K447" s="1">
        <v>41874</v>
      </c>
      <c r="M447" s="1" t="str">
        <f>IF(ISBLANK(Data[[#This Row],[EndDate]]),"Active","InActive")</f>
        <v>Active</v>
      </c>
      <c r="N447" t="s">
        <v>20</v>
      </c>
      <c r="O447" t="s">
        <v>21</v>
      </c>
      <c r="P447" t="s">
        <v>40</v>
      </c>
      <c r="Q447" s="2">
        <v>8459</v>
      </c>
    </row>
    <row r="448" spans="1:17" x14ac:dyDescent="0.2">
      <c r="A448" s="1">
        <v>43435</v>
      </c>
      <c r="B448">
        <v>44046</v>
      </c>
      <c r="C448" t="s">
        <v>79</v>
      </c>
      <c r="D448" t="s">
        <v>23</v>
      </c>
      <c r="E448" t="s">
        <v>24</v>
      </c>
      <c r="F448" s="5">
        <v>22</v>
      </c>
      <c r="G448" t="str">
        <f>IF(Data[[#This Row],[Age]]&lt;25,"Under 25",IF(Data[[#This Row],[Age]]&lt;35,"25–34",IF(Data[[#This Row],[Age]]&lt;45,"35–44",IF(Data[[#This Row],[Age]]&lt;55,"45–54","55+"))))</f>
        <v>Under 25</v>
      </c>
      <c r="H448" t="s">
        <v>31</v>
      </c>
      <c r="I448" t="s">
        <v>18</v>
      </c>
      <c r="J448" t="s">
        <v>37</v>
      </c>
      <c r="K448" s="1">
        <v>41724</v>
      </c>
      <c r="M448" s="1" t="str">
        <f>IF(ISBLANK(Data[[#This Row],[EndDate]]),"Active","InActive")</f>
        <v>Active</v>
      </c>
      <c r="N448" t="s">
        <v>20</v>
      </c>
      <c r="O448" t="s">
        <v>21</v>
      </c>
      <c r="P448" t="s">
        <v>40</v>
      </c>
      <c r="Q448" s="2">
        <v>5038</v>
      </c>
    </row>
    <row r="449" spans="1:17" x14ac:dyDescent="0.2">
      <c r="A449" s="1">
        <v>42705</v>
      </c>
      <c r="B449">
        <v>54316</v>
      </c>
      <c r="C449" t="s">
        <v>80</v>
      </c>
      <c r="D449" t="s">
        <v>23</v>
      </c>
      <c r="E449" t="s">
        <v>71</v>
      </c>
      <c r="F449" s="5">
        <v>22</v>
      </c>
      <c r="G449" t="str">
        <f>IF(Data[[#This Row],[Age]]&lt;25,"Under 25",IF(Data[[#This Row],[Age]]&lt;35,"25–34",IF(Data[[#This Row],[Age]]&lt;45,"35–44",IF(Data[[#This Row],[Age]]&lt;55,"45–54","55+"))))</f>
        <v>Under 25</v>
      </c>
      <c r="H449" t="s">
        <v>46</v>
      </c>
      <c r="I449" t="s">
        <v>18</v>
      </c>
      <c r="J449" t="s">
        <v>37</v>
      </c>
      <c r="K449" s="1">
        <v>38973</v>
      </c>
      <c r="M449" s="1" t="str">
        <f>IF(ISBLANK(Data[[#This Row],[EndDate]]),"Active","InActive")</f>
        <v>Active</v>
      </c>
      <c r="N449" t="s">
        <v>20</v>
      </c>
      <c r="O449" t="s">
        <v>21</v>
      </c>
      <c r="P449" t="s">
        <v>22</v>
      </c>
      <c r="Q449" s="2">
        <v>9911</v>
      </c>
    </row>
    <row r="450" spans="1:17" x14ac:dyDescent="0.2">
      <c r="A450" s="1">
        <v>42705</v>
      </c>
      <c r="B450">
        <v>109630</v>
      </c>
      <c r="C450" t="s">
        <v>79</v>
      </c>
      <c r="D450" t="s">
        <v>43</v>
      </c>
      <c r="E450" t="s">
        <v>60</v>
      </c>
      <c r="F450" s="5">
        <v>22</v>
      </c>
      <c r="G450" t="str">
        <f>IF(Data[[#This Row],[Age]]&lt;25,"Under 25",IF(Data[[#This Row],[Age]]&lt;35,"25–34",IF(Data[[#This Row],[Age]]&lt;45,"35–44",IF(Data[[#This Row],[Age]]&lt;55,"45–54","55+"))))</f>
        <v>Under 25</v>
      </c>
      <c r="H450" t="s">
        <v>17</v>
      </c>
      <c r="I450" t="s">
        <v>18</v>
      </c>
      <c r="J450" t="s">
        <v>37</v>
      </c>
      <c r="K450" s="1">
        <v>40904</v>
      </c>
      <c r="M450" s="1" t="str">
        <f>IF(ISBLANK(Data[[#This Row],[EndDate]]),"Active","InActive")</f>
        <v>Active</v>
      </c>
      <c r="N450" t="s">
        <v>20</v>
      </c>
      <c r="O450" t="s">
        <v>21</v>
      </c>
      <c r="P450" t="s">
        <v>22</v>
      </c>
      <c r="Q450" s="2">
        <v>10538</v>
      </c>
    </row>
    <row r="451" spans="1:17" x14ac:dyDescent="0.2">
      <c r="A451" s="1">
        <v>43070</v>
      </c>
      <c r="B451">
        <v>18214</v>
      </c>
      <c r="C451" t="s">
        <v>79</v>
      </c>
      <c r="D451" t="s">
        <v>47</v>
      </c>
      <c r="E451" t="s">
        <v>73</v>
      </c>
      <c r="F451" s="5">
        <v>22</v>
      </c>
      <c r="G451" t="str">
        <f>IF(Data[[#This Row],[Age]]&lt;25,"Under 25",IF(Data[[#This Row],[Age]]&lt;35,"25–34",IF(Data[[#This Row],[Age]]&lt;45,"35–44",IF(Data[[#This Row],[Age]]&lt;55,"45–54","55+"))))</f>
        <v>Under 25</v>
      </c>
      <c r="H451" t="s">
        <v>25</v>
      </c>
      <c r="I451" t="s">
        <v>18</v>
      </c>
      <c r="J451" t="s">
        <v>37</v>
      </c>
      <c r="K451" s="1">
        <v>41587</v>
      </c>
      <c r="M451" s="1" t="str">
        <f>IF(ISBLANK(Data[[#This Row],[EndDate]]),"Active","InActive")</f>
        <v>Active</v>
      </c>
      <c r="N451" t="s">
        <v>20</v>
      </c>
      <c r="O451" t="s">
        <v>21</v>
      </c>
      <c r="P451" t="s">
        <v>32</v>
      </c>
      <c r="Q451" s="2">
        <v>10208</v>
      </c>
    </row>
    <row r="452" spans="1:17" x14ac:dyDescent="0.2">
      <c r="A452" s="1">
        <v>43070</v>
      </c>
      <c r="B452">
        <v>22574</v>
      </c>
      <c r="C452" t="s">
        <v>79</v>
      </c>
      <c r="D452" t="s">
        <v>38</v>
      </c>
      <c r="E452" t="s">
        <v>45</v>
      </c>
      <c r="F452" s="5">
        <v>22</v>
      </c>
      <c r="G452" t="str">
        <f>IF(Data[[#This Row],[Age]]&lt;25,"Under 25",IF(Data[[#This Row],[Age]]&lt;35,"25–34",IF(Data[[#This Row],[Age]]&lt;45,"35–44",IF(Data[[#This Row],[Age]]&lt;55,"45–54","55+"))))</f>
        <v>Under 25</v>
      </c>
      <c r="H452" t="s">
        <v>17</v>
      </c>
      <c r="I452" t="s">
        <v>18</v>
      </c>
      <c r="J452" t="s">
        <v>37</v>
      </c>
      <c r="K452" s="1">
        <v>41552</v>
      </c>
      <c r="M452" s="1" t="str">
        <f>IF(ISBLANK(Data[[#This Row],[EndDate]]),"Active","InActive")</f>
        <v>Active</v>
      </c>
      <c r="N452" t="s">
        <v>20</v>
      </c>
      <c r="O452" t="s">
        <v>21</v>
      </c>
      <c r="P452" t="s">
        <v>32</v>
      </c>
      <c r="Q452" s="2">
        <v>10483</v>
      </c>
    </row>
    <row r="453" spans="1:17" x14ac:dyDescent="0.2">
      <c r="A453" s="1">
        <v>43070</v>
      </c>
      <c r="B453">
        <v>51340</v>
      </c>
      <c r="C453" t="s">
        <v>79</v>
      </c>
      <c r="D453" t="s">
        <v>23</v>
      </c>
      <c r="E453" t="s">
        <v>71</v>
      </c>
      <c r="F453" s="5">
        <v>22</v>
      </c>
      <c r="G453" t="str">
        <f>IF(Data[[#This Row],[Age]]&lt;25,"Under 25",IF(Data[[#This Row],[Age]]&lt;35,"25–34",IF(Data[[#This Row],[Age]]&lt;45,"35–44",IF(Data[[#This Row],[Age]]&lt;55,"45–54","55+"))))</f>
        <v>Under 25</v>
      </c>
      <c r="H453" t="s">
        <v>17</v>
      </c>
      <c r="I453" t="s">
        <v>18</v>
      </c>
      <c r="J453" t="s">
        <v>37</v>
      </c>
      <c r="K453" s="1">
        <v>41431</v>
      </c>
      <c r="M453" s="1" t="str">
        <f>IF(ISBLANK(Data[[#This Row],[EndDate]]),"Active","InActive")</f>
        <v>Active</v>
      </c>
      <c r="N453" t="s">
        <v>20</v>
      </c>
      <c r="O453" t="s">
        <v>21</v>
      </c>
      <c r="P453" t="s">
        <v>32</v>
      </c>
      <c r="Q453" s="2">
        <v>3465</v>
      </c>
    </row>
    <row r="454" spans="1:17" x14ac:dyDescent="0.2">
      <c r="A454" s="1">
        <v>43070</v>
      </c>
      <c r="B454">
        <v>52004</v>
      </c>
      <c r="C454" t="s">
        <v>80</v>
      </c>
      <c r="D454" t="s">
        <v>50</v>
      </c>
      <c r="E454" t="s">
        <v>51</v>
      </c>
      <c r="F454" s="5">
        <v>22</v>
      </c>
      <c r="G454" t="str">
        <f>IF(Data[[#This Row],[Age]]&lt;25,"Under 25",IF(Data[[#This Row],[Age]]&lt;35,"25–34",IF(Data[[#This Row],[Age]]&lt;45,"35–44",IF(Data[[#This Row],[Age]]&lt;55,"45–54","55+"))))</f>
        <v>Under 25</v>
      </c>
      <c r="H454" t="s">
        <v>46</v>
      </c>
      <c r="I454" t="s">
        <v>18</v>
      </c>
      <c r="J454" t="s">
        <v>37</v>
      </c>
      <c r="K454" s="1">
        <v>41299</v>
      </c>
      <c r="M454" s="1" t="str">
        <f>IF(ISBLANK(Data[[#This Row],[EndDate]]),"Active","InActive")</f>
        <v>Active</v>
      </c>
      <c r="N454" t="s">
        <v>20</v>
      </c>
      <c r="O454" t="s">
        <v>21</v>
      </c>
      <c r="P454" t="s">
        <v>32</v>
      </c>
      <c r="Q454" s="2">
        <v>3883</v>
      </c>
    </row>
    <row r="455" spans="1:17" x14ac:dyDescent="0.2">
      <c r="A455" s="1">
        <v>43435</v>
      </c>
      <c r="B455">
        <v>49300</v>
      </c>
      <c r="C455" t="s">
        <v>79</v>
      </c>
      <c r="D455" t="s">
        <v>41</v>
      </c>
      <c r="E455" t="s">
        <v>68</v>
      </c>
      <c r="F455" s="5">
        <v>22</v>
      </c>
      <c r="G455" t="str">
        <f>IF(Data[[#This Row],[Age]]&lt;25,"Under 25",IF(Data[[#This Row],[Age]]&lt;35,"25–34",IF(Data[[#This Row],[Age]]&lt;45,"35–44",IF(Data[[#This Row],[Age]]&lt;55,"45–54","55+"))))</f>
        <v>Under 25</v>
      </c>
      <c r="H455" t="s">
        <v>34</v>
      </c>
      <c r="I455" t="s">
        <v>18</v>
      </c>
      <c r="J455" t="s">
        <v>37</v>
      </c>
      <c r="K455" s="1">
        <v>41906</v>
      </c>
      <c r="M455" s="1" t="str">
        <f>IF(ISBLANK(Data[[#This Row],[EndDate]]),"Active","InActive")</f>
        <v>Active</v>
      </c>
      <c r="N455" t="s">
        <v>20</v>
      </c>
      <c r="O455" t="s">
        <v>21</v>
      </c>
      <c r="P455" t="s">
        <v>40</v>
      </c>
      <c r="Q455" s="2">
        <v>6424</v>
      </c>
    </row>
    <row r="456" spans="1:17" x14ac:dyDescent="0.2">
      <c r="A456" s="1">
        <v>43435</v>
      </c>
      <c r="B456">
        <v>49438</v>
      </c>
      <c r="C456" t="s">
        <v>80</v>
      </c>
      <c r="D456" t="s">
        <v>15</v>
      </c>
      <c r="E456" t="s">
        <v>70</v>
      </c>
      <c r="F456" s="5">
        <v>22</v>
      </c>
      <c r="G456" t="str">
        <f>IF(Data[[#This Row],[Age]]&lt;25,"Under 25",IF(Data[[#This Row],[Age]]&lt;35,"25–34",IF(Data[[#This Row],[Age]]&lt;45,"35–44",IF(Data[[#This Row],[Age]]&lt;55,"45–54","55+"))))</f>
        <v>Under 25</v>
      </c>
      <c r="H456" t="s">
        <v>25</v>
      </c>
      <c r="I456" t="s">
        <v>18</v>
      </c>
      <c r="J456" t="s">
        <v>37</v>
      </c>
      <c r="K456" s="1">
        <v>41808</v>
      </c>
      <c r="M456" s="1" t="str">
        <f>IF(ISBLANK(Data[[#This Row],[EndDate]]),"Active","InActive")</f>
        <v>Active</v>
      </c>
      <c r="N456" t="s">
        <v>20</v>
      </c>
      <c r="O456" t="s">
        <v>21</v>
      </c>
      <c r="P456" t="s">
        <v>40</v>
      </c>
      <c r="Q456" s="2">
        <v>3872</v>
      </c>
    </row>
    <row r="457" spans="1:17" x14ac:dyDescent="0.2">
      <c r="A457" s="1">
        <v>43435</v>
      </c>
      <c r="B457">
        <v>49700</v>
      </c>
      <c r="C457" t="s">
        <v>79</v>
      </c>
      <c r="D457" t="s">
        <v>52</v>
      </c>
      <c r="E457" t="s">
        <v>67</v>
      </c>
      <c r="F457" s="5">
        <v>22</v>
      </c>
      <c r="G457" t="str">
        <f>IF(Data[[#This Row],[Age]]&lt;25,"Under 25",IF(Data[[#This Row],[Age]]&lt;35,"25–34",IF(Data[[#This Row],[Age]]&lt;45,"35–44",IF(Data[[#This Row],[Age]]&lt;55,"45–54","55+"))))</f>
        <v>Under 25</v>
      </c>
      <c r="H457" t="s">
        <v>31</v>
      </c>
      <c r="I457" t="s">
        <v>18</v>
      </c>
      <c r="J457" t="s">
        <v>37</v>
      </c>
      <c r="K457" s="1">
        <v>41914</v>
      </c>
      <c r="M457" s="1" t="str">
        <f>IF(ISBLANK(Data[[#This Row],[EndDate]]),"Active","InActive")</f>
        <v>Active</v>
      </c>
      <c r="N457" t="s">
        <v>20</v>
      </c>
      <c r="O457" t="s">
        <v>21</v>
      </c>
      <c r="P457" t="s">
        <v>40</v>
      </c>
      <c r="Q457" s="2">
        <v>1507</v>
      </c>
    </row>
    <row r="458" spans="1:17" x14ac:dyDescent="0.2">
      <c r="A458" s="1">
        <v>43435</v>
      </c>
      <c r="B458">
        <v>50812</v>
      </c>
      <c r="C458" t="s">
        <v>80</v>
      </c>
      <c r="D458" t="s">
        <v>38</v>
      </c>
      <c r="E458" t="s">
        <v>39</v>
      </c>
      <c r="F458" s="5">
        <v>22</v>
      </c>
      <c r="G458" t="str">
        <f>IF(Data[[#This Row],[Age]]&lt;25,"Under 25",IF(Data[[#This Row],[Age]]&lt;35,"25–34",IF(Data[[#This Row],[Age]]&lt;45,"35–44",IF(Data[[#This Row],[Age]]&lt;55,"45–54","55+"))))</f>
        <v>Under 25</v>
      </c>
      <c r="H458" t="s">
        <v>46</v>
      </c>
      <c r="I458" t="s">
        <v>18</v>
      </c>
      <c r="J458" t="s">
        <v>37</v>
      </c>
      <c r="K458" s="1">
        <v>41328</v>
      </c>
      <c r="M458" s="1" t="str">
        <f>IF(ISBLANK(Data[[#This Row],[EndDate]]),"Active","InActive")</f>
        <v>Active</v>
      </c>
      <c r="N458" t="s">
        <v>20</v>
      </c>
      <c r="O458" t="s">
        <v>21</v>
      </c>
      <c r="P458" t="s">
        <v>40</v>
      </c>
      <c r="Q458" s="2">
        <v>8811</v>
      </c>
    </row>
    <row r="459" spans="1:17" x14ac:dyDescent="0.2">
      <c r="A459" s="1">
        <v>43435</v>
      </c>
      <c r="B459">
        <v>52304</v>
      </c>
      <c r="C459" t="s">
        <v>80</v>
      </c>
      <c r="D459" t="s">
        <v>23</v>
      </c>
      <c r="E459" t="s">
        <v>65</v>
      </c>
      <c r="F459" s="5">
        <v>22</v>
      </c>
      <c r="G459" t="str">
        <f>IF(Data[[#This Row],[Age]]&lt;25,"Under 25",IF(Data[[#This Row],[Age]]&lt;35,"25–34",IF(Data[[#This Row],[Age]]&lt;45,"35–44",IF(Data[[#This Row],[Age]]&lt;55,"45–54","55+"))))</f>
        <v>Under 25</v>
      </c>
      <c r="H459" t="s">
        <v>31</v>
      </c>
      <c r="I459" t="s">
        <v>18</v>
      </c>
      <c r="J459" t="s">
        <v>37</v>
      </c>
      <c r="K459" s="1">
        <v>41571</v>
      </c>
      <c r="M459" s="1" t="str">
        <f>IF(ISBLANK(Data[[#This Row],[EndDate]]),"Active","InActive")</f>
        <v>Active</v>
      </c>
      <c r="N459" t="s">
        <v>20</v>
      </c>
      <c r="O459" t="s">
        <v>21</v>
      </c>
      <c r="P459" t="s">
        <v>40</v>
      </c>
      <c r="Q459" s="2">
        <v>4059</v>
      </c>
    </row>
    <row r="460" spans="1:17" x14ac:dyDescent="0.2">
      <c r="A460" s="1">
        <v>43435</v>
      </c>
      <c r="B460">
        <v>55566</v>
      </c>
      <c r="C460" t="s">
        <v>80</v>
      </c>
      <c r="D460" t="s">
        <v>52</v>
      </c>
      <c r="E460" t="s">
        <v>67</v>
      </c>
      <c r="F460" s="5">
        <v>22</v>
      </c>
      <c r="G460" t="str">
        <f>IF(Data[[#This Row],[Age]]&lt;25,"Under 25",IF(Data[[#This Row],[Age]]&lt;35,"25–34",IF(Data[[#This Row],[Age]]&lt;45,"35–44",IF(Data[[#This Row],[Age]]&lt;55,"45–54","55+"))))</f>
        <v>Under 25</v>
      </c>
      <c r="H460" t="s">
        <v>49</v>
      </c>
      <c r="I460" t="s">
        <v>18</v>
      </c>
      <c r="J460" t="s">
        <v>37</v>
      </c>
      <c r="K460" s="1">
        <v>41515</v>
      </c>
      <c r="M460" s="1" t="str">
        <f>IF(ISBLANK(Data[[#This Row],[EndDate]]),"Active","InActive")</f>
        <v>Active</v>
      </c>
      <c r="N460" t="s">
        <v>20</v>
      </c>
      <c r="O460" t="s">
        <v>21</v>
      </c>
      <c r="P460" t="s">
        <v>40</v>
      </c>
      <c r="Q460" s="2">
        <v>9009</v>
      </c>
    </row>
    <row r="461" spans="1:17" x14ac:dyDescent="0.2">
      <c r="A461" s="1">
        <v>42705</v>
      </c>
      <c r="B461">
        <v>17146</v>
      </c>
      <c r="C461" t="s">
        <v>79</v>
      </c>
      <c r="D461" t="s">
        <v>50</v>
      </c>
      <c r="E461" t="s">
        <v>63</v>
      </c>
      <c r="F461" s="5">
        <v>22</v>
      </c>
      <c r="G461" t="str">
        <f>IF(Data[[#This Row],[Age]]&lt;25,"Under 25",IF(Data[[#This Row],[Age]]&lt;35,"25–34",IF(Data[[#This Row],[Age]]&lt;45,"35–44",IF(Data[[#This Row],[Age]]&lt;55,"45–54","55+"))))</f>
        <v>Under 25</v>
      </c>
      <c r="H461" t="s">
        <v>31</v>
      </c>
      <c r="I461" t="s">
        <v>18</v>
      </c>
      <c r="J461" t="s">
        <v>26</v>
      </c>
      <c r="K461" s="1">
        <v>40498</v>
      </c>
      <c r="L461" s="1">
        <v>40533</v>
      </c>
      <c r="M461" s="1" t="str">
        <f>IF(ISBLANK(Data[[#This Row],[EndDate]]),"Active","InActive")</f>
        <v>InActive</v>
      </c>
      <c r="N461" t="s">
        <v>20</v>
      </c>
      <c r="O461" t="s">
        <v>21</v>
      </c>
      <c r="P461" t="s">
        <v>22</v>
      </c>
      <c r="Q461" s="2">
        <v>2211</v>
      </c>
    </row>
    <row r="462" spans="1:17" x14ac:dyDescent="0.2">
      <c r="A462" s="1">
        <v>42705</v>
      </c>
      <c r="B462">
        <v>49368</v>
      </c>
      <c r="C462" t="s">
        <v>80</v>
      </c>
      <c r="D462" t="s">
        <v>41</v>
      </c>
      <c r="E462" t="s">
        <v>62</v>
      </c>
      <c r="F462" s="5">
        <v>22</v>
      </c>
      <c r="G462" t="str">
        <f>IF(Data[[#This Row],[Age]]&lt;25,"Under 25",IF(Data[[#This Row],[Age]]&lt;35,"25–34",IF(Data[[#This Row],[Age]]&lt;45,"35–44",IF(Data[[#This Row],[Age]]&lt;55,"45–54","55+"))))</f>
        <v>Under 25</v>
      </c>
      <c r="H462" t="s">
        <v>34</v>
      </c>
      <c r="I462" t="s">
        <v>18</v>
      </c>
      <c r="J462" t="s">
        <v>26</v>
      </c>
      <c r="K462" s="1">
        <v>41227</v>
      </c>
      <c r="M462" s="1" t="str">
        <f>IF(ISBLANK(Data[[#This Row],[EndDate]]),"Active","InActive")</f>
        <v>Active</v>
      </c>
      <c r="N462" t="s">
        <v>20</v>
      </c>
      <c r="O462" t="s">
        <v>21</v>
      </c>
      <c r="P462" t="s">
        <v>22</v>
      </c>
      <c r="Q462" s="2">
        <v>10439</v>
      </c>
    </row>
    <row r="463" spans="1:17" x14ac:dyDescent="0.2">
      <c r="A463" s="1">
        <v>42705</v>
      </c>
      <c r="B463">
        <v>50472</v>
      </c>
      <c r="C463" t="s">
        <v>79</v>
      </c>
      <c r="D463" t="s">
        <v>29</v>
      </c>
      <c r="E463" t="s">
        <v>33</v>
      </c>
      <c r="F463" s="5">
        <v>22</v>
      </c>
      <c r="G463" t="str">
        <f>IF(Data[[#This Row],[Age]]&lt;25,"Under 25",IF(Data[[#This Row],[Age]]&lt;35,"25–34",IF(Data[[#This Row],[Age]]&lt;45,"35–44",IF(Data[[#This Row],[Age]]&lt;55,"45–54","55+"))))</f>
        <v>Under 25</v>
      </c>
      <c r="H463" t="s">
        <v>46</v>
      </c>
      <c r="I463" t="s">
        <v>18</v>
      </c>
      <c r="J463" t="s">
        <v>26</v>
      </c>
      <c r="K463" s="1">
        <v>40799</v>
      </c>
      <c r="M463" s="1" t="str">
        <f>IF(ISBLANK(Data[[#This Row],[EndDate]]),"Active","InActive")</f>
        <v>Active</v>
      </c>
      <c r="N463" t="s">
        <v>20</v>
      </c>
      <c r="O463" t="s">
        <v>21</v>
      </c>
      <c r="P463" t="s">
        <v>22</v>
      </c>
      <c r="Q463" s="2">
        <v>9515</v>
      </c>
    </row>
    <row r="464" spans="1:17" x14ac:dyDescent="0.2">
      <c r="A464" s="1">
        <v>42705</v>
      </c>
      <c r="B464">
        <v>55514</v>
      </c>
      <c r="C464" t="s">
        <v>80</v>
      </c>
      <c r="D464" t="s">
        <v>27</v>
      </c>
      <c r="E464" t="s">
        <v>28</v>
      </c>
      <c r="F464" s="5">
        <v>22</v>
      </c>
      <c r="G464" t="str">
        <f>IF(Data[[#This Row],[Age]]&lt;25,"Under 25",IF(Data[[#This Row],[Age]]&lt;35,"25–34",IF(Data[[#This Row],[Age]]&lt;45,"35–44",IF(Data[[#This Row],[Age]]&lt;55,"45–54","55+"))))</f>
        <v>Under 25</v>
      </c>
      <c r="H464" t="s">
        <v>31</v>
      </c>
      <c r="I464" t="s">
        <v>18</v>
      </c>
      <c r="J464" t="s">
        <v>26</v>
      </c>
      <c r="K464" s="1">
        <v>40648</v>
      </c>
      <c r="M464" s="1" t="str">
        <f>IF(ISBLANK(Data[[#This Row],[EndDate]]),"Active","InActive")</f>
        <v>Active</v>
      </c>
      <c r="N464" t="s">
        <v>20</v>
      </c>
      <c r="O464" t="s">
        <v>21</v>
      </c>
      <c r="P464" t="s">
        <v>22</v>
      </c>
      <c r="Q464" s="2">
        <v>5588</v>
      </c>
    </row>
    <row r="465" spans="1:17" x14ac:dyDescent="0.2">
      <c r="A465" s="1">
        <v>42705</v>
      </c>
      <c r="B465">
        <v>107554</v>
      </c>
      <c r="C465" t="s">
        <v>79</v>
      </c>
      <c r="D465" t="s">
        <v>38</v>
      </c>
      <c r="E465" t="s">
        <v>39</v>
      </c>
      <c r="F465" s="5">
        <v>22</v>
      </c>
      <c r="G465" t="str">
        <f>IF(Data[[#This Row],[Age]]&lt;25,"Under 25",IF(Data[[#This Row],[Age]]&lt;35,"25–34",IF(Data[[#This Row],[Age]]&lt;45,"35–44",IF(Data[[#This Row],[Age]]&lt;55,"45–54","55+"))))</f>
        <v>Under 25</v>
      </c>
      <c r="H465" t="s">
        <v>31</v>
      </c>
      <c r="I465" t="s">
        <v>18</v>
      </c>
      <c r="J465" t="s">
        <v>26</v>
      </c>
      <c r="K465" s="1">
        <v>41131</v>
      </c>
      <c r="M465" s="1" t="str">
        <f>IF(ISBLANK(Data[[#This Row],[EndDate]]),"Active","InActive")</f>
        <v>Active</v>
      </c>
      <c r="N465" t="s">
        <v>20</v>
      </c>
      <c r="O465" t="s">
        <v>21</v>
      </c>
      <c r="P465" t="s">
        <v>22</v>
      </c>
      <c r="Q465" s="2">
        <v>6633</v>
      </c>
    </row>
    <row r="466" spans="1:17" x14ac:dyDescent="0.2">
      <c r="A466" s="1">
        <v>43070</v>
      </c>
      <c r="B466">
        <v>14066</v>
      </c>
      <c r="C466" t="s">
        <v>80</v>
      </c>
      <c r="D466" t="s">
        <v>52</v>
      </c>
      <c r="E466" t="s">
        <v>53</v>
      </c>
      <c r="F466" s="5">
        <v>22</v>
      </c>
      <c r="G466" t="str">
        <f>IF(Data[[#This Row],[Age]]&lt;25,"Under 25",IF(Data[[#This Row],[Age]]&lt;35,"25–34",IF(Data[[#This Row],[Age]]&lt;45,"35–44",IF(Data[[#This Row],[Age]]&lt;55,"45–54","55+"))))</f>
        <v>Under 25</v>
      </c>
      <c r="H466" t="s">
        <v>31</v>
      </c>
      <c r="I466" t="s">
        <v>18</v>
      </c>
      <c r="J466" t="s">
        <v>26</v>
      </c>
      <c r="K466" s="1">
        <v>41587</v>
      </c>
      <c r="M466" s="1" t="str">
        <f>IF(ISBLANK(Data[[#This Row],[EndDate]]),"Active","InActive")</f>
        <v>Active</v>
      </c>
      <c r="N466" t="s">
        <v>20</v>
      </c>
      <c r="O466" t="s">
        <v>21</v>
      </c>
      <c r="P466" t="s">
        <v>32</v>
      </c>
      <c r="Q466" s="2">
        <v>9251</v>
      </c>
    </row>
    <row r="467" spans="1:17" x14ac:dyDescent="0.2">
      <c r="A467" s="1">
        <v>43070</v>
      </c>
      <c r="B467">
        <v>17854</v>
      </c>
      <c r="C467" t="s">
        <v>80</v>
      </c>
      <c r="D467" t="s">
        <v>47</v>
      </c>
      <c r="E467" t="s">
        <v>48</v>
      </c>
      <c r="F467" s="5">
        <v>22</v>
      </c>
      <c r="G467" t="str">
        <f>IF(Data[[#This Row],[Age]]&lt;25,"Under 25",IF(Data[[#This Row],[Age]]&lt;35,"25–34",IF(Data[[#This Row],[Age]]&lt;45,"35–44",IF(Data[[#This Row],[Age]]&lt;55,"45–54","55+"))))</f>
        <v>Under 25</v>
      </c>
      <c r="H467" t="s">
        <v>34</v>
      </c>
      <c r="I467" t="s">
        <v>18</v>
      </c>
      <c r="J467" t="s">
        <v>26</v>
      </c>
      <c r="K467" s="1">
        <v>40983</v>
      </c>
      <c r="M467" s="1" t="str">
        <f>IF(ISBLANK(Data[[#This Row],[EndDate]]),"Active","InActive")</f>
        <v>Active</v>
      </c>
      <c r="N467" t="s">
        <v>20</v>
      </c>
      <c r="O467" t="s">
        <v>21</v>
      </c>
      <c r="P467" t="s">
        <v>32</v>
      </c>
      <c r="Q467" s="2">
        <v>10373</v>
      </c>
    </row>
    <row r="468" spans="1:17" x14ac:dyDescent="0.2">
      <c r="A468" s="1">
        <v>43070</v>
      </c>
      <c r="B468">
        <v>18926</v>
      </c>
      <c r="C468" t="s">
        <v>79</v>
      </c>
      <c r="D468" t="s">
        <v>41</v>
      </c>
      <c r="E468" t="s">
        <v>68</v>
      </c>
      <c r="F468" s="5">
        <v>22</v>
      </c>
      <c r="G468" t="str">
        <f>IF(Data[[#This Row],[Age]]&lt;25,"Under 25",IF(Data[[#This Row],[Age]]&lt;35,"25–34",IF(Data[[#This Row],[Age]]&lt;45,"35–44",IF(Data[[#This Row],[Age]]&lt;55,"45–54","55+"))))</f>
        <v>Under 25</v>
      </c>
      <c r="H468" t="s">
        <v>49</v>
      </c>
      <c r="I468" t="s">
        <v>18</v>
      </c>
      <c r="J468" t="s">
        <v>26</v>
      </c>
      <c r="K468" s="1">
        <v>41243</v>
      </c>
      <c r="M468" s="1" t="str">
        <f>IF(ISBLANK(Data[[#This Row],[EndDate]]),"Active","InActive")</f>
        <v>Active</v>
      </c>
      <c r="N468" t="s">
        <v>20</v>
      </c>
      <c r="O468" t="s">
        <v>21</v>
      </c>
      <c r="P468" t="s">
        <v>32</v>
      </c>
      <c r="Q468" s="2">
        <v>3168</v>
      </c>
    </row>
    <row r="469" spans="1:17" x14ac:dyDescent="0.2">
      <c r="A469" s="1">
        <v>43070</v>
      </c>
      <c r="B469">
        <v>26924</v>
      </c>
      <c r="C469" t="s">
        <v>79</v>
      </c>
      <c r="D469" t="s">
        <v>43</v>
      </c>
      <c r="E469" t="s">
        <v>44</v>
      </c>
      <c r="F469" s="5">
        <v>22</v>
      </c>
      <c r="G469" t="str">
        <f>IF(Data[[#This Row],[Age]]&lt;25,"Under 25",IF(Data[[#This Row],[Age]]&lt;35,"25–34",IF(Data[[#This Row],[Age]]&lt;45,"35–44",IF(Data[[#This Row],[Age]]&lt;55,"45–54","55+"))))</f>
        <v>Under 25</v>
      </c>
      <c r="H469" t="s">
        <v>25</v>
      </c>
      <c r="I469" t="s">
        <v>18</v>
      </c>
      <c r="J469" t="s">
        <v>26</v>
      </c>
      <c r="K469" s="1">
        <v>41173</v>
      </c>
      <c r="M469" s="1" t="str">
        <f>IF(ISBLANK(Data[[#This Row],[EndDate]]),"Active","InActive")</f>
        <v>Active</v>
      </c>
      <c r="N469" t="s">
        <v>20</v>
      </c>
      <c r="O469" t="s">
        <v>21</v>
      </c>
      <c r="P469" t="s">
        <v>32</v>
      </c>
      <c r="Q469" s="2">
        <v>4730</v>
      </c>
    </row>
    <row r="470" spans="1:17" x14ac:dyDescent="0.2">
      <c r="A470" s="1">
        <v>43070</v>
      </c>
      <c r="B470">
        <v>31806</v>
      </c>
      <c r="C470" t="s">
        <v>80</v>
      </c>
      <c r="D470" t="s">
        <v>15</v>
      </c>
      <c r="E470" t="s">
        <v>70</v>
      </c>
      <c r="F470" s="5">
        <v>22</v>
      </c>
      <c r="G470" t="str">
        <f>IF(Data[[#This Row],[Age]]&lt;25,"Under 25",IF(Data[[#This Row],[Age]]&lt;35,"25–34",IF(Data[[#This Row],[Age]]&lt;45,"35–44",IF(Data[[#This Row],[Age]]&lt;55,"45–54","55+"))))</f>
        <v>Under 25</v>
      </c>
      <c r="H470" t="s">
        <v>17</v>
      </c>
      <c r="I470" t="s">
        <v>18</v>
      </c>
      <c r="J470" t="s">
        <v>26</v>
      </c>
      <c r="K470" s="1">
        <v>41541</v>
      </c>
      <c r="M470" s="1" t="str">
        <f>IF(ISBLANK(Data[[#This Row],[EndDate]]),"Active","InActive")</f>
        <v>Active</v>
      </c>
      <c r="N470" t="s">
        <v>20</v>
      </c>
      <c r="O470" t="s">
        <v>21</v>
      </c>
      <c r="P470" t="s">
        <v>32</v>
      </c>
      <c r="Q470" s="2">
        <v>1177</v>
      </c>
    </row>
    <row r="471" spans="1:17" x14ac:dyDescent="0.2">
      <c r="A471" s="1">
        <v>43070</v>
      </c>
      <c r="B471">
        <v>53988</v>
      </c>
      <c r="C471" t="s">
        <v>79</v>
      </c>
      <c r="D471" t="s">
        <v>23</v>
      </c>
      <c r="E471" t="s">
        <v>24</v>
      </c>
      <c r="F471" s="5">
        <v>22</v>
      </c>
      <c r="G471" t="str">
        <f>IF(Data[[#This Row],[Age]]&lt;25,"Under 25",IF(Data[[#This Row],[Age]]&lt;35,"25–34",IF(Data[[#This Row],[Age]]&lt;45,"35–44",IF(Data[[#This Row],[Age]]&lt;55,"45–54","55+"))))</f>
        <v>Under 25</v>
      </c>
      <c r="H471" t="s">
        <v>31</v>
      </c>
      <c r="I471" t="s">
        <v>18</v>
      </c>
      <c r="J471" t="s">
        <v>26</v>
      </c>
      <c r="K471" s="1">
        <v>40934</v>
      </c>
      <c r="M471" s="1" t="str">
        <f>IF(ISBLANK(Data[[#This Row],[EndDate]]),"Active","InActive")</f>
        <v>Active</v>
      </c>
      <c r="N471" t="s">
        <v>20</v>
      </c>
      <c r="O471" t="s">
        <v>21</v>
      </c>
      <c r="P471" t="s">
        <v>32</v>
      </c>
      <c r="Q471" s="2">
        <v>10593</v>
      </c>
    </row>
    <row r="472" spans="1:17" x14ac:dyDescent="0.2">
      <c r="A472" s="1">
        <v>43070</v>
      </c>
      <c r="B472">
        <v>54894</v>
      </c>
      <c r="C472" t="s">
        <v>79</v>
      </c>
      <c r="D472" t="s">
        <v>43</v>
      </c>
      <c r="E472" t="s">
        <v>44</v>
      </c>
      <c r="F472" s="5">
        <v>22</v>
      </c>
      <c r="G472" t="str">
        <f>IF(Data[[#This Row],[Age]]&lt;25,"Under 25",IF(Data[[#This Row],[Age]]&lt;35,"25–34",IF(Data[[#This Row],[Age]]&lt;45,"35–44",IF(Data[[#This Row],[Age]]&lt;55,"45–54","55+"))))</f>
        <v>Under 25</v>
      </c>
      <c r="H472" t="s">
        <v>25</v>
      </c>
      <c r="I472" t="s">
        <v>18</v>
      </c>
      <c r="J472" t="s">
        <v>26</v>
      </c>
      <c r="K472" s="1">
        <v>41390</v>
      </c>
      <c r="M472" s="1" t="str">
        <f>IF(ISBLANK(Data[[#This Row],[EndDate]]),"Active","InActive")</f>
        <v>Active</v>
      </c>
      <c r="N472" t="s">
        <v>20</v>
      </c>
      <c r="O472" t="s">
        <v>21</v>
      </c>
      <c r="P472" t="s">
        <v>32</v>
      </c>
      <c r="Q472" s="2">
        <v>1199</v>
      </c>
    </row>
    <row r="473" spans="1:17" x14ac:dyDescent="0.2">
      <c r="A473" s="1">
        <v>43435</v>
      </c>
      <c r="B473">
        <v>54366</v>
      </c>
      <c r="C473" t="s">
        <v>80</v>
      </c>
      <c r="D473" t="s">
        <v>15</v>
      </c>
      <c r="E473" t="s">
        <v>70</v>
      </c>
      <c r="F473" s="5">
        <v>22</v>
      </c>
      <c r="G473" t="str">
        <f>IF(Data[[#This Row],[Age]]&lt;25,"Under 25",IF(Data[[#This Row],[Age]]&lt;35,"25–34",IF(Data[[#This Row],[Age]]&lt;45,"35–44",IF(Data[[#This Row],[Age]]&lt;55,"45–54","55+"))))</f>
        <v>Under 25</v>
      </c>
      <c r="H473" t="s">
        <v>31</v>
      </c>
      <c r="I473" t="s">
        <v>18</v>
      </c>
      <c r="J473" t="s">
        <v>26</v>
      </c>
      <c r="K473" s="1">
        <v>41462</v>
      </c>
      <c r="M473" s="1" t="str">
        <f>IF(ISBLANK(Data[[#This Row],[EndDate]]),"Active","InActive")</f>
        <v>Active</v>
      </c>
      <c r="N473" t="s">
        <v>20</v>
      </c>
      <c r="O473" t="s">
        <v>21</v>
      </c>
      <c r="P473" t="s">
        <v>40</v>
      </c>
      <c r="Q473" s="2">
        <v>7986</v>
      </c>
    </row>
    <row r="474" spans="1:17" x14ac:dyDescent="0.2">
      <c r="A474" s="1">
        <v>43435</v>
      </c>
      <c r="B474">
        <v>56360</v>
      </c>
      <c r="C474" t="s">
        <v>80</v>
      </c>
      <c r="D474" t="s">
        <v>52</v>
      </c>
      <c r="E474" t="s">
        <v>53</v>
      </c>
      <c r="F474" s="5">
        <v>22</v>
      </c>
      <c r="G474" t="str">
        <f>IF(Data[[#This Row],[Age]]&lt;25,"Under 25",IF(Data[[#This Row],[Age]]&lt;35,"25–34",IF(Data[[#This Row],[Age]]&lt;45,"35–44",IF(Data[[#This Row],[Age]]&lt;55,"45–54","55+"))))</f>
        <v>Under 25</v>
      </c>
      <c r="H474" t="s">
        <v>46</v>
      </c>
      <c r="I474" t="s">
        <v>18</v>
      </c>
      <c r="J474" t="s">
        <v>26</v>
      </c>
      <c r="K474" s="1">
        <v>41564</v>
      </c>
      <c r="M474" s="1" t="str">
        <f>IF(ISBLANK(Data[[#This Row],[EndDate]]),"Active","InActive")</f>
        <v>Active</v>
      </c>
      <c r="N474" t="s">
        <v>20</v>
      </c>
      <c r="O474" t="s">
        <v>21</v>
      </c>
      <c r="P474" t="s">
        <v>40</v>
      </c>
      <c r="Q474" s="2">
        <v>4939</v>
      </c>
    </row>
    <row r="475" spans="1:17" x14ac:dyDescent="0.2">
      <c r="A475" s="1">
        <v>42705</v>
      </c>
      <c r="B475">
        <v>42804</v>
      </c>
      <c r="C475" t="s">
        <v>79</v>
      </c>
      <c r="D475" t="s">
        <v>47</v>
      </c>
      <c r="E475" t="s">
        <v>48</v>
      </c>
      <c r="F475" s="5">
        <v>22</v>
      </c>
      <c r="G475" t="str">
        <f>IF(Data[[#This Row],[Age]]&lt;25,"Under 25",IF(Data[[#This Row],[Age]]&lt;35,"25–34",IF(Data[[#This Row],[Age]]&lt;45,"35–44",IF(Data[[#This Row],[Age]]&lt;55,"45–54","55+"))))</f>
        <v>Under 25</v>
      </c>
      <c r="H475" t="s">
        <v>25</v>
      </c>
      <c r="I475" t="s">
        <v>18</v>
      </c>
      <c r="J475" t="s">
        <v>35</v>
      </c>
      <c r="K475" s="1">
        <v>41159</v>
      </c>
      <c r="M475" s="1" t="str">
        <f>IF(ISBLANK(Data[[#This Row],[EndDate]]),"Active","InActive")</f>
        <v>Active</v>
      </c>
      <c r="N475" t="s">
        <v>20</v>
      </c>
      <c r="O475" t="s">
        <v>21</v>
      </c>
      <c r="P475" t="s">
        <v>22</v>
      </c>
      <c r="Q475" s="2">
        <v>2156</v>
      </c>
    </row>
    <row r="476" spans="1:17" x14ac:dyDescent="0.2">
      <c r="A476" s="1">
        <v>42705</v>
      </c>
      <c r="B476">
        <v>42924</v>
      </c>
      <c r="C476" t="s">
        <v>79</v>
      </c>
      <c r="D476" t="s">
        <v>52</v>
      </c>
      <c r="E476" t="s">
        <v>69</v>
      </c>
      <c r="F476" s="5">
        <v>22</v>
      </c>
      <c r="G476" t="str">
        <f>IF(Data[[#This Row],[Age]]&lt;25,"Under 25",IF(Data[[#This Row],[Age]]&lt;35,"25–34",IF(Data[[#This Row],[Age]]&lt;45,"35–44",IF(Data[[#This Row],[Age]]&lt;55,"45–54","55+"))))</f>
        <v>Under 25</v>
      </c>
      <c r="H476" t="s">
        <v>34</v>
      </c>
      <c r="I476" t="s">
        <v>18</v>
      </c>
      <c r="J476" t="s">
        <v>35</v>
      </c>
      <c r="K476" s="1">
        <v>40717</v>
      </c>
      <c r="M476" s="1" t="str">
        <f>IF(ISBLANK(Data[[#This Row],[EndDate]]),"Active","InActive")</f>
        <v>Active</v>
      </c>
      <c r="N476" t="s">
        <v>20</v>
      </c>
      <c r="O476" t="s">
        <v>21</v>
      </c>
      <c r="P476" t="s">
        <v>22</v>
      </c>
      <c r="Q476" s="2">
        <v>10428</v>
      </c>
    </row>
    <row r="477" spans="1:17" x14ac:dyDescent="0.2">
      <c r="A477" s="1">
        <v>42705</v>
      </c>
      <c r="B477">
        <v>55776</v>
      </c>
      <c r="C477" t="s">
        <v>79</v>
      </c>
      <c r="D477" t="s">
        <v>23</v>
      </c>
      <c r="E477" t="s">
        <v>71</v>
      </c>
      <c r="F477" s="5">
        <v>22</v>
      </c>
      <c r="G477" t="str">
        <f>IF(Data[[#This Row],[Age]]&lt;25,"Under 25",IF(Data[[#This Row],[Age]]&lt;35,"25–34",IF(Data[[#This Row],[Age]]&lt;45,"35–44",IF(Data[[#This Row],[Age]]&lt;55,"45–54","55+"))))</f>
        <v>Under 25</v>
      </c>
      <c r="H477" t="s">
        <v>34</v>
      </c>
      <c r="I477" t="s">
        <v>18</v>
      </c>
      <c r="J477" t="s">
        <v>35</v>
      </c>
      <c r="K477" s="1">
        <v>40940</v>
      </c>
      <c r="M477" s="1" t="str">
        <f>IF(ISBLANK(Data[[#This Row],[EndDate]]),"Active","InActive")</f>
        <v>Active</v>
      </c>
      <c r="N477" t="s">
        <v>20</v>
      </c>
      <c r="O477" t="s">
        <v>21</v>
      </c>
      <c r="P477" t="s">
        <v>22</v>
      </c>
      <c r="Q477" s="2">
        <v>4774</v>
      </c>
    </row>
    <row r="478" spans="1:17" x14ac:dyDescent="0.2">
      <c r="A478" s="1">
        <v>42705</v>
      </c>
      <c r="B478">
        <v>102712</v>
      </c>
      <c r="C478" t="s">
        <v>79</v>
      </c>
      <c r="D478" t="s">
        <v>23</v>
      </c>
      <c r="E478" t="s">
        <v>24</v>
      </c>
      <c r="F478" s="5">
        <v>22</v>
      </c>
      <c r="G478" t="str">
        <f>IF(Data[[#This Row],[Age]]&lt;25,"Under 25",IF(Data[[#This Row],[Age]]&lt;35,"25–34",IF(Data[[#This Row],[Age]]&lt;45,"35–44",IF(Data[[#This Row],[Age]]&lt;55,"45–54","55+"))))</f>
        <v>Under 25</v>
      </c>
      <c r="H478" t="s">
        <v>31</v>
      </c>
      <c r="I478" t="s">
        <v>18</v>
      </c>
      <c r="J478" t="s">
        <v>35</v>
      </c>
      <c r="K478" s="1">
        <v>41213</v>
      </c>
      <c r="M478" s="1" t="str">
        <f>IF(ISBLANK(Data[[#This Row],[EndDate]]),"Active","InActive")</f>
        <v>Active</v>
      </c>
      <c r="N478" t="s">
        <v>20</v>
      </c>
      <c r="O478" t="s">
        <v>21</v>
      </c>
      <c r="P478" t="s">
        <v>22</v>
      </c>
      <c r="Q478" s="2">
        <v>2101</v>
      </c>
    </row>
    <row r="479" spans="1:17" x14ac:dyDescent="0.2">
      <c r="A479" s="1">
        <v>42705</v>
      </c>
      <c r="B479">
        <v>105028</v>
      </c>
      <c r="C479" t="s">
        <v>79</v>
      </c>
      <c r="D479" t="s">
        <v>38</v>
      </c>
      <c r="E479" t="s">
        <v>39</v>
      </c>
      <c r="F479" s="5">
        <v>22</v>
      </c>
      <c r="G479" t="str">
        <f>IF(Data[[#This Row],[Age]]&lt;25,"Under 25",IF(Data[[#This Row],[Age]]&lt;35,"25–34",IF(Data[[#This Row],[Age]]&lt;45,"35–44",IF(Data[[#This Row],[Age]]&lt;55,"45–54","55+"))))</f>
        <v>Under 25</v>
      </c>
      <c r="H479" t="s">
        <v>49</v>
      </c>
      <c r="I479" t="s">
        <v>18</v>
      </c>
      <c r="J479" t="s">
        <v>35</v>
      </c>
      <c r="K479" s="1">
        <v>41130</v>
      </c>
      <c r="M479" s="1" t="str">
        <f>IF(ISBLANK(Data[[#This Row],[EndDate]]),"Active","InActive")</f>
        <v>Active</v>
      </c>
      <c r="N479" t="s">
        <v>20</v>
      </c>
      <c r="O479" t="s">
        <v>21</v>
      </c>
      <c r="P479" t="s">
        <v>22</v>
      </c>
      <c r="Q479" s="2">
        <v>9141</v>
      </c>
    </row>
    <row r="480" spans="1:17" x14ac:dyDescent="0.2">
      <c r="A480" s="1">
        <v>43070</v>
      </c>
      <c r="B480">
        <v>5052</v>
      </c>
      <c r="C480" t="s">
        <v>79</v>
      </c>
      <c r="D480" t="s">
        <v>38</v>
      </c>
      <c r="E480" t="s">
        <v>61</v>
      </c>
      <c r="F480" s="5">
        <v>22</v>
      </c>
      <c r="G480" t="str">
        <f>IF(Data[[#This Row],[Age]]&lt;25,"Under 25",IF(Data[[#This Row],[Age]]&lt;35,"25–34",IF(Data[[#This Row],[Age]]&lt;45,"35–44",IF(Data[[#This Row],[Age]]&lt;55,"45–54","55+"))))</f>
        <v>Under 25</v>
      </c>
      <c r="H480" t="s">
        <v>59</v>
      </c>
      <c r="I480" t="s">
        <v>18</v>
      </c>
      <c r="J480" t="s">
        <v>35</v>
      </c>
      <c r="K480" s="1">
        <v>40696</v>
      </c>
      <c r="M480" s="1" t="str">
        <f>IF(ISBLANK(Data[[#This Row],[EndDate]]),"Active","InActive")</f>
        <v>Active</v>
      </c>
      <c r="N480" t="s">
        <v>20</v>
      </c>
      <c r="O480" t="s">
        <v>21</v>
      </c>
      <c r="P480" t="s">
        <v>32</v>
      </c>
      <c r="Q480" s="2">
        <v>7612</v>
      </c>
    </row>
    <row r="481" spans="1:17" x14ac:dyDescent="0.2">
      <c r="A481" s="1">
        <v>43070</v>
      </c>
      <c r="B481">
        <v>10522</v>
      </c>
      <c r="C481" t="s">
        <v>80</v>
      </c>
      <c r="D481" t="s">
        <v>29</v>
      </c>
      <c r="E481" t="s">
        <v>30</v>
      </c>
      <c r="F481" s="5">
        <v>22</v>
      </c>
      <c r="G481" t="str">
        <f>IF(Data[[#This Row],[Age]]&lt;25,"Under 25",IF(Data[[#This Row],[Age]]&lt;35,"25–34",IF(Data[[#This Row],[Age]]&lt;45,"35–44",IF(Data[[#This Row],[Age]]&lt;55,"45–54","55+"))))</f>
        <v>Under 25</v>
      </c>
      <c r="H481" t="s">
        <v>34</v>
      </c>
      <c r="I481" t="s">
        <v>18</v>
      </c>
      <c r="J481" t="s">
        <v>35</v>
      </c>
      <c r="K481" s="1">
        <v>41493</v>
      </c>
      <c r="M481" s="1" t="str">
        <f>IF(ISBLANK(Data[[#This Row],[EndDate]]),"Active","InActive")</f>
        <v>Active</v>
      </c>
      <c r="N481" t="s">
        <v>20</v>
      </c>
      <c r="O481" t="s">
        <v>21</v>
      </c>
      <c r="P481" t="s">
        <v>32</v>
      </c>
      <c r="Q481" s="2">
        <v>8954</v>
      </c>
    </row>
    <row r="482" spans="1:17" x14ac:dyDescent="0.2">
      <c r="A482" s="1">
        <v>43070</v>
      </c>
      <c r="B482">
        <v>11614</v>
      </c>
      <c r="C482" t="s">
        <v>80</v>
      </c>
      <c r="D482" t="s">
        <v>43</v>
      </c>
      <c r="E482" t="s">
        <v>60</v>
      </c>
      <c r="F482" s="5">
        <v>22</v>
      </c>
      <c r="G482" t="str">
        <f>IF(Data[[#This Row],[Age]]&lt;25,"Under 25",IF(Data[[#This Row],[Age]]&lt;35,"25–34",IF(Data[[#This Row],[Age]]&lt;45,"35–44",IF(Data[[#This Row],[Age]]&lt;55,"45–54","55+"))))</f>
        <v>Under 25</v>
      </c>
      <c r="H482" t="s">
        <v>17</v>
      </c>
      <c r="I482" t="s">
        <v>18</v>
      </c>
      <c r="J482" t="s">
        <v>35</v>
      </c>
      <c r="K482" s="1">
        <v>41598</v>
      </c>
      <c r="M482" s="1" t="str">
        <f>IF(ISBLANK(Data[[#This Row],[EndDate]]),"Active","InActive")</f>
        <v>Active</v>
      </c>
      <c r="N482" t="s">
        <v>20</v>
      </c>
      <c r="O482" t="s">
        <v>21</v>
      </c>
      <c r="P482" t="s">
        <v>32</v>
      </c>
      <c r="Q482" s="2">
        <v>1188</v>
      </c>
    </row>
    <row r="483" spans="1:17" x14ac:dyDescent="0.2">
      <c r="A483" s="1">
        <v>43070</v>
      </c>
      <c r="B483">
        <v>12494</v>
      </c>
      <c r="C483" t="s">
        <v>79</v>
      </c>
      <c r="D483" t="s">
        <v>29</v>
      </c>
      <c r="E483" t="s">
        <v>30</v>
      </c>
      <c r="F483" s="5">
        <v>22</v>
      </c>
      <c r="G483" t="str">
        <f>IF(Data[[#This Row],[Age]]&lt;25,"Under 25",IF(Data[[#This Row],[Age]]&lt;35,"25–34",IF(Data[[#This Row],[Age]]&lt;45,"35–44",IF(Data[[#This Row],[Age]]&lt;55,"45–54","55+"))))</f>
        <v>Under 25</v>
      </c>
      <c r="H483" t="s">
        <v>25</v>
      </c>
      <c r="I483" t="s">
        <v>18</v>
      </c>
      <c r="J483" t="s">
        <v>35</v>
      </c>
      <c r="K483" s="1">
        <v>41605</v>
      </c>
      <c r="M483" s="1" t="str">
        <f>IF(ISBLANK(Data[[#This Row],[EndDate]]),"Active","InActive")</f>
        <v>Active</v>
      </c>
      <c r="N483" t="s">
        <v>20</v>
      </c>
      <c r="O483" t="s">
        <v>21</v>
      </c>
      <c r="P483" t="s">
        <v>32</v>
      </c>
      <c r="Q483" s="2">
        <v>2277</v>
      </c>
    </row>
    <row r="484" spans="1:17" x14ac:dyDescent="0.2">
      <c r="A484" s="1">
        <v>43070</v>
      </c>
      <c r="B484">
        <v>43128</v>
      </c>
      <c r="C484" t="s">
        <v>80</v>
      </c>
      <c r="D484" t="s">
        <v>47</v>
      </c>
      <c r="E484" t="s">
        <v>48</v>
      </c>
      <c r="F484" s="5">
        <v>22</v>
      </c>
      <c r="G484" t="str">
        <f>IF(Data[[#This Row],[Age]]&lt;25,"Under 25",IF(Data[[#This Row],[Age]]&lt;35,"25–34",IF(Data[[#This Row],[Age]]&lt;45,"35–44",IF(Data[[#This Row],[Age]]&lt;55,"45–54","55+"))))</f>
        <v>Under 25</v>
      </c>
      <c r="H484" t="s">
        <v>46</v>
      </c>
      <c r="I484" t="s">
        <v>18</v>
      </c>
      <c r="J484" t="s">
        <v>35</v>
      </c>
      <c r="K484" s="1">
        <v>40964</v>
      </c>
      <c r="M484" s="1" t="str">
        <f>IF(ISBLANK(Data[[#This Row],[EndDate]]),"Active","InActive")</f>
        <v>Active</v>
      </c>
      <c r="N484" t="s">
        <v>20</v>
      </c>
      <c r="O484" t="s">
        <v>21</v>
      </c>
      <c r="P484" t="s">
        <v>32</v>
      </c>
      <c r="Q484" s="2">
        <v>4400</v>
      </c>
    </row>
    <row r="485" spans="1:17" x14ac:dyDescent="0.2">
      <c r="A485" s="1">
        <v>43435</v>
      </c>
      <c r="B485">
        <v>42472</v>
      </c>
      <c r="C485" t="s">
        <v>80</v>
      </c>
      <c r="D485" t="s">
        <v>23</v>
      </c>
      <c r="E485" t="s">
        <v>71</v>
      </c>
      <c r="F485" s="5">
        <v>22</v>
      </c>
      <c r="G485" t="str">
        <f>IF(Data[[#This Row],[Age]]&lt;25,"Under 25",IF(Data[[#This Row],[Age]]&lt;35,"25–34",IF(Data[[#This Row],[Age]]&lt;45,"35–44",IF(Data[[#This Row],[Age]]&lt;55,"45–54","55+"))))</f>
        <v>Under 25</v>
      </c>
      <c r="H485" t="s">
        <v>17</v>
      </c>
      <c r="I485" t="s">
        <v>18</v>
      </c>
      <c r="J485" t="s">
        <v>35</v>
      </c>
      <c r="K485" s="1">
        <v>41783</v>
      </c>
      <c r="M485" s="1" t="str">
        <f>IF(ISBLANK(Data[[#This Row],[EndDate]]),"Active","InActive")</f>
        <v>Active</v>
      </c>
      <c r="N485" t="s">
        <v>20</v>
      </c>
      <c r="O485" t="s">
        <v>21</v>
      </c>
      <c r="P485" t="s">
        <v>40</v>
      </c>
      <c r="Q485" s="2">
        <v>6006</v>
      </c>
    </row>
    <row r="486" spans="1:17" x14ac:dyDescent="0.2">
      <c r="A486" s="1">
        <v>43435</v>
      </c>
      <c r="B486">
        <v>42506</v>
      </c>
      <c r="C486" t="s">
        <v>79</v>
      </c>
      <c r="D486" t="s">
        <v>43</v>
      </c>
      <c r="E486" t="s">
        <v>44</v>
      </c>
      <c r="F486" s="5">
        <v>22</v>
      </c>
      <c r="G486" t="str">
        <f>IF(Data[[#This Row],[Age]]&lt;25,"Under 25",IF(Data[[#This Row],[Age]]&lt;35,"25–34",IF(Data[[#This Row],[Age]]&lt;45,"35–44",IF(Data[[#This Row],[Age]]&lt;55,"45–54","55+"))))</f>
        <v>Under 25</v>
      </c>
      <c r="H486" t="s">
        <v>25</v>
      </c>
      <c r="I486" t="s">
        <v>18</v>
      </c>
      <c r="J486" t="s">
        <v>35</v>
      </c>
      <c r="K486" s="1">
        <v>41794</v>
      </c>
      <c r="M486" s="1" t="str">
        <f>IF(ISBLANK(Data[[#This Row],[EndDate]]),"Active","InActive")</f>
        <v>Active</v>
      </c>
      <c r="N486" t="s">
        <v>20</v>
      </c>
      <c r="O486" t="s">
        <v>21</v>
      </c>
      <c r="P486" t="s">
        <v>40</v>
      </c>
      <c r="Q486" s="2">
        <v>10472</v>
      </c>
    </row>
    <row r="487" spans="1:17" x14ac:dyDescent="0.2">
      <c r="A487" s="1">
        <v>43435</v>
      </c>
      <c r="B487">
        <v>42762</v>
      </c>
      <c r="C487" t="s">
        <v>80</v>
      </c>
      <c r="D487" t="s">
        <v>27</v>
      </c>
      <c r="E487" t="s">
        <v>28</v>
      </c>
      <c r="F487" s="5">
        <v>22</v>
      </c>
      <c r="G487" t="str">
        <f>IF(Data[[#This Row],[Age]]&lt;25,"Under 25",IF(Data[[#This Row],[Age]]&lt;35,"25–34",IF(Data[[#This Row],[Age]]&lt;45,"35–44",IF(Data[[#This Row],[Age]]&lt;55,"45–54","55+"))))</f>
        <v>Under 25</v>
      </c>
      <c r="H487" t="s">
        <v>46</v>
      </c>
      <c r="I487" t="s">
        <v>18</v>
      </c>
      <c r="J487" t="s">
        <v>35</v>
      </c>
      <c r="K487" s="1">
        <v>41908</v>
      </c>
      <c r="M487" s="1" t="str">
        <f>IF(ISBLANK(Data[[#This Row],[EndDate]]),"Active","InActive")</f>
        <v>Active</v>
      </c>
      <c r="N487" t="s">
        <v>20</v>
      </c>
      <c r="O487" t="s">
        <v>21</v>
      </c>
      <c r="P487" t="s">
        <v>40</v>
      </c>
      <c r="Q487" s="2">
        <v>8272</v>
      </c>
    </row>
    <row r="488" spans="1:17" x14ac:dyDescent="0.2">
      <c r="A488" s="1">
        <v>43435</v>
      </c>
      <c r="B488">
        <v>42934</v>
      </c>
      <c r="C488" t="s">
        <v>79</v>
      </c>
      <c r="D488" t="s">
        <v>23</v>
      </c>
      <c r="E488" t="s">
        <v>65</v>
      </c>
      <c r="F488" s="5">
        <v>22</v>
      </c>
      <c r="G488" t="str">
        <f>IF(Data[[#This Row],[Age]]&lt;25,"Under 25",IF(Data[[#This Row],[Age]]&lt;35,"25–34",IF(Data[[#This Row],[Age]]&lt;45,"35–44",IF(Data[[#This Row],[Age]]&lt;55,"45–54","55+"))))</f>
        <v>Under 25</v>
      </c>
      <c r="H488" t="s">
        <v>34</v>
      </c>
      <c r="I488" t="s">
        <v>18</v>
      </c>
      <c r="J488" t="s">
        <v>35</v>
      </c>
      <c r="K488" s="1">
        <v>41830</v>
      </c>
      <c r="M488" s="1" t="str">
        <f>IF(ISBLANK(Data[[#This Row],[EndDate]]),"Active","InActive")</f>
        <v>Active</v>
      </c>
      <c r="N488" t="s">
        <v>20</v>
      </c>
      <c r="O488" t="s">
        <v>21</v>
      </c>
      <c r="P488" t="s">
        <v>40</v>
      </c>
      <c r="Q488" s="2">
        <v>10978</v>
      </c>
    </row>
    <row r="489" spans="1:17" x14ac:dyDescent="0.2">
      <c r="A489" s="1">
        <v>43435</v>
      </c>
      <c r="B489">
        <v>43130</v>
      </c>
      <c r="C489" t="s">
        <v>80</v>
      </c>
      <c r="D489" t="s">
        <v>15</v>
      </c>
      <c r="E489" t="s">
        <v>58</v>
      </c>
      <c r="F489" s="5">
        <v>22</v>
      </c>
      <c r="G489" t="str">
        <f>IF(Data[[#This Row],[Age]]&lt;25,"Under 25",IF(Data[[#This Row],[Age]]&lt;35,"25–34",IF(Data[[#This Row],[Age]]&lt;45,"35–44",IF(Data[[#This Row],[Age]]&lt;55,"45–54","55+"))))</f>
        <v>Under 25</v>
      </c>
      <c r="H489" t="s">
        <v>49</v>
      </c>
      <c r="I489" t="s">
        <v>18</v>
      </c>
      <c r="J489" t="s">
        <v>35</v>
      </c>
      <c r="K489" s="1">
        <v>41698</v>
      </c>
      <c r="M489" s="1" t="str">
        <f>IF(ISBLANK(Data[[#This Row],[EndDate]]),"Active","InActive")</f>
        <v>Active</v>
      </c>
      <c r="N489" t="s">
        <v>20</v>
      </c>
      <c r="O489" t="s">
        <v>21</v>
      </c>
      <c r="P489" t="s">
        <v>40</v>
      </c>
      <c r="Q489" s="2">
        <v>5566</v>
      </c>
    </row>
    <row r="490" spans="1:17" x14ac:dyDescent="0.2">
      <c r="A490" s="1">
        <v>43435</v>
      </c>
      <c r="B490">
        <v>43336</v>
      </c>
      <c r="C490" t="s">
        <v>80</v>
      </c>
      <c r="D490" t="s">
        <v>15</v>
      </c>
      <c r="E490" t="s">
        <v>16</v>
      </c>
      <c r="F490" s="5">
        <v>22</v>
      </c>
      <c r="G490" t="str">
        <f>IF(Data[[#This Row],[Age]]&lt;25,"Under 25",IF(Data[[#This Row],[Age]]&lt;35,"25–34",IF(Data[[#This Row],[Age]]&lt;45,"35–44",IF(Data[[#This Row],[Age]]&lt;55,"45–54","55+"))))</f>
        <v>Under 25</v>
      </c>
      <c r="H490" t="s">
        <v>34</v>
      </c>
      <c r="I490" t="s">
        <v>18</v>
      </c>
      <c r="J490" t="s">
        <v>35</v>
      </c>
      <c r="K490" s="1">
        <v>40999</v>
      </c>
      <c r="M490" s="1" t="str">
        <f>IF(ISBLANK(Data[[#This Row],[EndDate]]),"Active","InActive")</f>
        <v>Active</v>
      </c>
      <c r="N490" t="s">
        <v>20</v>
      </c>
      <c r="O490" t="s">
        <v>21</v>
      </c>
      <c r="P490" t="s">
        <v>40</v>
      </c>
      <c r="Q490" s="2">
        <v>8217</v>
      </c>
    </row>
    <row r="491" spans="1:17" x14ac:dyDescent="0.2">
      <c r="A491" s="1">
        <v>43435</v>
      </c>
      <c r="B491">
        <v>53290</v>
      </c>
      <c r="C491" t="s">
        <v>79</v>
      </c>
      <c r="D491" t="s">
        <v>27</v>
      </c>
      <c r="E491" t="s">
        <v>74</v>
      </c>
      <c r="F491" s="5">
        <v>22</v>
      </c>
      <c r="G491" t="str">
        <f>IF(Data[[#This Row],[Age]]&lt;25,"Under 25",IF(Data[[#This Row],[Age]]&lt;35,"25–34",IF(Data[[#This Row],[Age]]&lt;45,"35–44",IF(Data[[#This Row],[Age]]&lt;55,"45–54","55+"))))</f>
        <v>Under 25</v>
      </c>
      <c r="H491" t="s">
        <v>17</v>
      </c>
      <c r="I491" t="s">
        <v>18</v>
      </c>
      <c r="J491" t="s">
        <v>35</v>
      </c>
      <c r="K491" s="1">
        <v>41136</v>
      </c>
      <c r="M491" s="1" t="str">
        <f>IF(ISBLANK(Data[[#This Row],[EndDate]]),"Active","InActive")</f>
        <v>Active</v>
      </c>
      <c r="N491" t="s">
        <v>20</v>
      </c>
      <c r="O491" t="s">
        <v>21</v>
      </c>
      <c r="P491" t="s">
        <v>40</v>
      </c>
      <c r="Q491" s="2">
        <v>7381</v>
      </c>
    </row>
    <row r="492" spans="1:17" x14ac:dyDescent="0.2">
      <c r="A492" s="1">
        <v>43435</v>
      </c>
      <c r="B492">
        <v>54556</v>
      </c>
      <c r="C492" t="s">
        <v>80</v>
      </c>
      <c r="D492" t="s">
        <v>23</v>
      </c>
      <c r="E492" t="s">
        <v>65</v>
      </c>
      <c r="F492" s="5">
        <v>22</v>
      </c>
      <c r="G492" t="str">
        <f>IF(Data[[#This Row],[Age]]&lt;25,"Under 25",IF(Data[[#This Row],[Age]]&lt;35,"25–34",IF(Data[[#This Row],[Age]]&lt;45,"35–44",IF(Data[[#This Row],[Age]]&lt;55,"45–54","55+"))))</f>
        <v>Under 25</v>
      </c>
      <c r="H492" t="s">
        <v>25</v>
      </c>
      <c r="I492" t="s">
        <v>18</v>
      </c>
      <c r="J492" t="s">
        <v>35</v>
      </c>
      <c r="K492" s="1">
        <v>40970</v>
      </c>
      <c r="M492" s="1" t="str">
        <f>IF(ISBLANK(Data[[#This Row],[EndDate]]),"Active","InActive")</f>
        <v>Active</v>
      </c>
      <c r="N492" t="s">
        <v>20</v>
      </c>
      <c r="O492" t="s">
        <v>21</v>
      </c>
      <c r="P492" t="s">
        <v>40</v>
      </c>
      <c r="Q492" s="2">
        <v>6897</v>
      </c>
    </row>
    <row r="493" spans="1:17" x14ac:dyDescent="0.2">
      <c r="A493" s="1">
        <v>42705</v>
      </c>
      <c r="B493">
        <v>31824</v>
      </c>
      <c r="C493" t="s">
        <v>80</v>
      </c>
      <c r="D493" t="s">
        <v>38</v>
      </c>
      <c r="E493" t="s">
        <v>45</v>
      </c>
      <c r="F493" s="5">
        <v>22</v>
      </c>
      <c r="G493" t="str">
        <f>IF(Data[[#This Row],[Age]]&lt;25,"Under 25",IF(Data[[#This Row],[Age]]&lt;35,"25–34",IF(Data[[#This Row],[Age]]&lt;45,"35–44",IF(Data[[#This Row],[Age]]&lt;55,"45–54","55+"))))</f>
        <v>Under 25</v>
      </c>
      <c r="H493" t="s">
        <v>46</v>
      </c>
      <c r="I493" t="s">
        <v>18</v>
      </c>
      <c r="J493" t="s">
        <v>37</v>
      </c>
      <c r="K493" s="1">
        <v>41061</v>
      </c>
      <c r="M493" s="1" t="str">
        <f>IF(ISBLANK(Data[[#This Row],[EndDate]]),"Active","InActive")</f>
        <v>Active</v>
      </c>
      <c r="N493" t="s">
        <v>20</v>
      </c>
      <c r="O493" t="s">
        <v>21</v>
      </c>
      <c r="P493" t="s">
        <v>22</v>
      </c>
      <c r="Q493" s="2">
        <v>4994</v>
      </c>
    </row>
    <row r="494" spans="1:17" x14ac:dyDescent="0.2">
      <c r="A494" s="1">
        <v>42705</v>
      </c>
      <c r="B494">
        <v>40754</v>
      </c>
      <c r="C494" t="s">
        <v>79</v>
      </c>
      <c r="D494" t="s">
        <v>27</v>
      </c>
      <c r="E494" t="s">
        <v>72</v>
      </c>
      <c r="F494" s="5">
        <v>22</v>
      </c>
      <c r="G494" t="str">
        <f>IF(Data[[#This Row],[Age]]&lt;25,"Under 25",IF(Data[[#This Row],[Age]]&lt;35,"25–34",IF(Data[[#This Row],[Age]]&lt;45,"35–44",IF(Data[[#This Row],[Age]]&lt;55,"45–54","55+"))))</f>
        <v>Under 25</v>
      </c>
      <c r="H494" t="s">
        <v>31</v>
      </c>
      <c r="I494" t="s">
        <v>18</v>
      </c>
      <c r="J494" t="s">
        <v>37</v>
      </c>
      <c r="K494" s="1">
        <v>39667</v>
      </c>
      <c r="M494" s="1" t="str">
        <f>IF(ISBLANK(Data[[#This Row],[EndDate]]),"Active","InActive")</f>
        <v>Active</v>
      </c>
      <c r="N494" t="s">
        <v>20</v>
      </c>
      <c r="O494" t="s">
        <v>21</v>
      </c>
      <c r="P494" t="s">
        <v>22</v>
      </c>
      <c r="Q494" s="2">
        <v>4235</v>
      </c>
    </row>
    <row r="495" spans="1:17" x14ac:dyDescent="0.2">
      <c r="A495" s="1">
        <v>42705</v>
      </c>
      <c r="B495">
        <v>43606</v>
      </c>
      <c r="C495" t="s">
        <v>79</v>
      </c>
      <c r="D495" t="s">
        <v>41</v>
      </c>
      <c r="E495" t="s">
        <v>62</v>
      </c>
      <c r="F495" s="5">
        <v>22</v>
      </c>
      <c r="G495" t="str">
        <f>IF(Data[[#This Row],[Age]]&lt;25,"Under 25",IF(Data[[#This Row],[Age]]&lt;35,"25–34",IF(Data[[#This Row],[Age]]&lt;45,"35–44",IF(Data[[#This Row],[Age]]&lt;55,"45–54","55+"))))</f>
        <v>Under 25</v>
      </c>
      <c r="H495" t="s">
        <v>46</v>
      </c>
      <c r="I495" t="s">
        <v>18</v>
      </c>
      <c r="J495" t="s">
        <v>37</v>
      </c>
      <c r="K495" s="1">
        <v>40786</v>
      </c>
      <c r="M495" s="1" t="str">
        <f>IF(ISBLANK(Data[[#This Row],[EndDate]]),"Active","InActive")</f>
        <v>Active</v>
      </c>
      <c r="N495" t="s">
        <v>20</v>
      </c>
      <c r="O495" t="s">
        <v>21</v>
      </c>
      <c r="P495" t="s">
        <v>22</v>
      </c>
      <c r="Q495" s="2">
        <v>9559</v>
      </c>
    </row>
    <row r="496" spans="1:17" x14ac:dyDescent="0.2">
      <c r="A496" s="1">
        <v>42705</v>
      </c>
      <c r="B496">
        <v>101560</v>
      </c>
      <c r="C496" t="s">
        <v>79</v>
      </c>
      <c r="D496" t="s">
        <v>41</v>
      </c>
      <c r="E496" t="s">
        <v>62</v>
      </c>
      <c r="F496" s="5">
        <v>22</v>
      </c>
      <c r="G496" t="str">
        <f>IF(Data[[#This Row],[Age]]&lt;25,"Under 25",IF(Data[[#This Row],[Age]]&lt;35,"25–34",IF(Data[[#This Row],[Age]]&lt;45,"35–44",IF(Data[[#This Row],[Age]]&lt;55,"45–54","55+"))))</f>
        <v>Under 25</v>
      </c>
      <c r="H496" t="s">
        <v>34</v>
      </c>
      <c r="I496" t="s">
        <v>18</v>
      </c>
      <c r="J496" t="s">
        <v>37</v>
      </c>
      <c r="K496" s="1">
        <v>41144</v>
      </c>
      <c r="M496" s="1" t="str">
        <f>IF(ISBLANK(Data[[#This Row],[EndDate]]),"Active","InActive")</f>
        <v>Active</v>
      </c>
      <c r="N496" t="s">
        <v>20</v>
      </c>
      <c r="O496" t="s">
        <v>21</v>
      </c>
      <c r="P496" t="s">
        <v>22</v>
      </c>
      <c r="Q496" s="2">
        <v>9163</v>
      </c>
    </row>
    <row r="497" spans="1:17" x14ac:dyDescent="0.2">
      <c r="A497" s="1">
        <v>42705</v>
      </c>
      <c r="B497">
        <v>104652</v>
      </c>
      <c r="C497" t="s">
        <v>79</v>
      </c>
      <c r="D497" t="s">
        <v>15</v>
      </c>
      <c r="E497" t="s">
        <v>16</v>
      </c>
      <c r="F497" s="5">
        <v>22</v>
      </c>
      <c r="G497" t="str">
        <f>IF(Data[[#This Row],[Age]]&lt;25,"Under 25",IF(Data[[#This Row],[Age]]&lt;35,"25–34",IF(Data[[#This Row],[Age]]&lt;45,"35–44",IF(Data[[#This Row],[Age]]&lt;55,"45–54","55+"))))</f>
        <v>Under 25</v>
      </c>
      <c r="H497" t="s">
        <v>49</v>
      </c>
      <c r="I497" t="s">
        <v>18</v>
      </c>
      <c r="J497" t="s">
        <v>37</v>
      </c>
      <c r="K497" s="1">
        <v>41166</v>
      </c>
      <c r="M497" s="1" t="str">
        <f>IF(ISBLANK(Data[[#This Row],[EndDate]]),"Active","InActive")</f>
        <v>Active</v>
      </c>
      <c r="N497" t="s">
        <v>20</v>
      </c>
      <c r="O497" t="s">
        <v>21</v>
      </c>
      <c r="P497" t="s">
        <v>22</v>
      </c>
      <c r="Q497" s="2">
        <v>8987</v>
      </c>
    </row>
    <row r="498" spans="1:17" x14ac:dyDescent="0.2">
      <c r="A498" s="1">
        <v>42705</v>
      </c>
      <c r="B498">
        <v>111618</v>
      </c>
      <c r="C498" t="s">
        <v>80</v>
      </c>
      <c r="D498" t="s">
        <v>50</v>
      </c>
      <c r="E498" t="s">
        <v>63</v>
      </c>
      <c r="F498" s="5">
        <v>22</v>
      </c>
      <c r="G498" t="str">
        <f>IF(Data[[#This Row],[Age]]&lt;25,"Under 25",IF(Data[[#This Row],[Age]]&lt;35,"25–34",IF(Data[[#This Row],[Age]]&lt;45,"35–44",IF(Data[[#This Row],[Age]]&lt;55,"45–54","55+"))))</f>
        <v>Under 25</v>
      </c>
      <c r="H498" t="s">
        <v>25</v>
      </c>
      <c r="I498" t="s">
        <v>18</v>
      </c>
      <c r="J498" t="s">
        <v>37</v>
      </c>
      <c r="K498" s="1">
        <v>41039</v>
      </c>
      <c r="M498" s="1" t="str">
        <f>IF(ISBLANK(Data[[#This Row],[EndDate]]),"Active","InActive")</f>
        <v>Active</v>
      </c>
      <c r="N498" t="s">
        <v>20</v>
      </c>
      <c r="O498" t="s">
        <v>21</v>
      </c>
      <c r="P498" t="s">
        <v>22</v>
      </c>
      <c r="Q498" s="2">
        <v>9394</v>
      </c>
    </row>
    <row r="499" spans="1:17" x14ac:dyDescent="0.2">
      <c r="A499" s="1">
        <v>42705</v>
      </c>
      <c r="B499">
        <v>115526</v>
      </c>
      <c r="C499" t="s">
        <v>79</v>
      </c>
      <c r="D499" t="s">
        <v>47</v>
      </c>
      <c r="E499" t="s">
        <v>64</v>
      </c>
      <c r="F499" s="5">
        <v>22</v>
      </c>
      <c r="G499" t="str">
        <f>IF(Data[[#This Row],[Age]]&lt;25,"Under 25",IF(Data[[#This Row],[Age]]&lt;35,"25–34",IF(Data[[#This Row],[Age]]&lt;45,"35–44",IF(Data[[#This Row],[Age]]&lt;55,"45–54","55+"))))</f>
        <v>Under 25</v>
      </c>
      <c r="H499" t="s">
        <v>34</v>
      </c>
      <c r="I499" t="s">
        <v>18</v>
      </c>
      <c r="J499" t="s">
        <v>37</v>
      </c>
      <c r="K499" s="1">
        <v>39659</v>
      </c>
      <c r="M499" s="1" t="str">
        <f>IF(ISBLANK(Data[[#This Row],[EndDate]]),"Active","InActive")</f>
        <v>Active</v>
      </c>
      <c r="N499" t="s">
        <v>20</v>
      </c>
      <c r="O499" t="s">
        <v>21</v>
      </c>
      <c r="P499" t="s">
        <v>22</v>
      </c>
      <c r="Q499" s="2">
        <v>4829</v>
      </c>
    </row>
    <row r="500" spans="1:17" x14ac:dyDescent="0.2">
      <c r="A500" s="1">
        <v>43070</v>
      </c>
      <c r="B500">
        <v>43728</v>
      </c>
      <c r="C500" t="s">
        <v>79</v>
      </c>
      <c r="D500" t="s">
        <v>15</v>
      </c>
      <c r="E500" t="s">
        <v>16</v>
      </c>
      <c r="F500" s="5">
        <v>22</v>
      </c>
      <c r="G500" t="str">
        <f>IF(Data[[#This Row],[Age]]&lt;25,"Under 25",IF(Data[[#This Row],[Age]]&lt;35,"25–34",IF(Data[[#This Row],[Age]]&lt;45,"35–44",IF(Data[[#This Row],[Age]]&lt;55,"45–54","55+"))))</f>
        <v>Under 25</v>
      </c>
      <c r="H500" t="s">
        <v>31</v>
      </c>
      <c r="I500" t="s">
        <v>18</v>
      </c>
      <c r="J500" t="s">
        <v>37</v>
      </c>
      <c r="K500" s="1">
        <v>40819</v>
      </c>
      <c r="M500" s="1" t="str">
        <f>IF(ISBLANK(Data[[#This Row],[EndDate]]),"Active","InActive")</f>
        <v>Active</v>
      </c>
      <c r="N500" t="s">
        <v>20</v>
      </c>
      <c r="O500" t="s">
        <v>21</v>
      </c>
      <c r="P500" t="s">
        <v>32</v>
      </c>
      <c r="Q500" s="2">
        <v>4092</v>
      </c>
    </row>
    <row r="501" spans="1:17" x14ac:dyDescent="0.2">
      <c r="A501" s="1">
        <v>43070</v>
      </c>
      <c r="B501">
        <v>43738</v>
      </c>
      <c r="C501" t="s">
        <v>80</v>
      </c>
      <c r="D501" t="s">
        <v>50</v>
      </c>
      <c r="E501" t="s">
        <v>51</v>
      </c>
      <c r="F501" s="5">
        <v>22</v>
      </c>
      <c r="G501" t="str">
        <f>IF(Data[[#This Row],[Age]]&lt;25,"Under 25",IF(Data[[#This Row],[Age]]&lt;35,"25–34",IF(Data[[#This Row],[Age]]&lt;45,"35–44",IF(Data[[#This Row],[Age]]&lt;55,"45–54","55+"))))</f>
        <v>Under 25</v>
      </c>
      <c r="H501" t="s">
        <v>31</v>
      </c>
      <c r="I501" t="s">
        <v>18</v>
      </c>
      <c r="J501" t="s">
        <v>37</v>
      </c>
      <c r="K501" s="1">
        <v>40351</v>
      </c>
      <c r="M501" s="1" t="str">
        <f>IF(ISBLANK(Data[[#This Row],[EndDate]]),"Active","InActive")</f>
        <v>Active</v>
      </c>
      <c r="N501" t="s">
        <v>20</v>
      </c>
      <c r="O501" t="s">
        <v>21</v>
      </c>
      <c r="P501" t="s">
        <v>32</v>
      </c>
      <c r="Q501" s="2">
        <v>10263</v>
      </c>
    </row>
    <row r="502" spans="1:17" x14ac:dyDescent="0.2">
      <c r="A502" s="1">
        <v>43070</v>
      </c>
      <c r="B502">
        <v>50332</v>
      </c>
      <c r="C502" t="s">
        <v>80</v>
      </c>
      <c r="D502" t="s">
        <v>38</v>
      </c>
      <c r="E502" t="s">
        <v>45</v>
      </c>
      <c r="F502" s="5">
        <v>22</v>
      </c>
      <c r="G502" t="str">
        <f>IF(Data[[#This Row],[Age]]&lt;25,"Under 25",IF(Data[[#This Row],[Age]]&lt;35,"25–34",IF(Data[[#This Row],[Age]]&lt;45,"35–44",IF(Data[[#This Row],[Age]]&lt;55,"45–54","55+"))))</f>
        <v>Under 25</v>
      </c>
      <c r="H502" t="s">
        <v>46</v>
      </c>
      <c r="I502" t="s">
        <v>18</v>
      </c>
      <c r="J502" t="s">
        <v>37</v>
      </c>
      <c r="K502" s="1">
        <v>41261</v>
      </c>
      <c r="L502" s="1">
        <v>41361</v>
      </c>
      <c r="M502" s="1" t="str">
        <f>IF(ISBLANK(Data[[#This Row],[EndDate]]),"Active","InActive")</f>
        <v>InActive</v>
      </c>
      <c r="N502" t="s">
        <v>20</v>
      </c>
      <c r="O502" t="s">
        <v>21</v>
      </c>
      <c r="P502" t="s">
        <v>32</v>
      </c>
      <c r="Q502" s="2">
        <v>9724</v>
      </c>
    </row>
    <row r="503" spans="1:17" x14ac:dyDescent="0.2">
      <c r="A503" s="1">
        <v>43070</v>
      </c>
      <c r="B503">
        <v>55650</v>
      </c>
      <c r="C503" t="s">
        <v>80</v>
      </c>
      <c r="D503" t="s">
        <v>52</v>
      </c>
      <c r="E503" t="s">
        <v>53</v>
      </c>
      <c r="F503" s="5">
        <v>22</v>
      </c>
      <c r="G503" t="str">
        <f>IF(Data[[#This Row],[Age]]&lt;25,"Under 25",IF(Data[[#This Row],[Age]]&lt;35,"25–34",IF(Data[[#This Row],[Age]]&lt;45,"35–44",IF(Data[[#This Row],[Age]]&lt;55,"45–54","55+"))))</f>
        <v>Under 25</v>
      </c>
      <c r="H503" t="s">
        <v>34</v>
      </c>
      <c r="I503" t="s">
        <v>18</v>
      </c>
      <c r="J503" t="s">
        <v>37</v>
      </c>
      <c r="K503" s="1">
        <v>39717</v>
      </c>
      <c r="M503" s="1" t="str">
        <f>IF(ISBLANK(Data[[#This Row],[EndDate]]),"Active","InActive")</f>
        <v>Active</v>
      </c>
      <c r="N503" t="s">
        <v>20</v>
      </c>
      <c r="O503" t="s">
        <v>21</v>
      </c>
      <c r="P503" t="s">
        <v>32</v>
      </c>
      <c r="Q503" s="2">
        <v>1518</v>
      </c>
    </row>
    <row r="504" spans="1:17" x14ac:dyDescent="0.2">
      <c r="A504" s="1">
        <v>43435</v>
      </c>
      <c r="B504">
        <v>40478</v>
      </c>
      <c r="C504" t="s">
        <v>80</v>
      </c>
      <c r="D504" t="s">
        <v>27</v>
      </c>
      <c r="E504" t="s">
        <v>28</v>
      </c>
      <c r="F504" s="5">
        <v>22</v>
      </c>
      <c r="G504" t="str">
        <f>IF(Data[[#This Row],[Age]]&lt;25,"Under 25",IF(Data[[#This Row],[Age]]&lt;35,"25–34",IF(Data[[#This Row],[Age]]&lt;45,"35–44",IF(Data[[#This Row],[Age]]&lt;55,"45–54","55+"))))</f>
        <v>Under 25</v>
      </c>
      <c r="H504" t="s">
        <v>59</v>
      </c>
      <c r="I504" t="s">
        <v>18</v>
      </c>
      <c r="J504" t="s">
        <v>37</v>
      </c>
      <c r="K504" s="1">
        <v>40716</v>
      </c>
      <c r="M504" s="1" t="str">
        <f>IF(ISBLANK(Data[[#This Row],[EndDate]]),"Active","InActive")</f>
        <v>Active</v>
      </c>
      <c r="N504" t="s">
        <v>20</v>
      </c>
      <c r="O504" t="s">
        <v>21</v>
      </c>
      <c r="P504" t="s">
        <v>40</v>
      </c>
      <c r="Q504" s="2">
        <v>4730</v>
      </c>
    </row>
    <row r="505" spans="1:17" x14ac:dyDescent="0.2">
      <c r="A505" s="1">
        <v>43435</v>
      </c>
      <c r="B505">
        <v>40502</v>
      </c>
      <c r="C505" t="s">
        <v>80</v>
      </c>
      <c r="D505" t="s">
        <v>23</v>
      </c>
      <c r="E505" t="s">
        <v>71</v>
      </c>
      <c r="F505" s="5">
        <v>22</v>
      </c>
      <c r="G505" t="str">
        <f>IF(Data[[#This Row],[Age]]&lt;25,"Under 25",IF(Data[[#This Row],[Age]]&lt;35,"25–34",IF(Data[[#This Row],[Age]]&lt;45,"35–44",IF(Data[[#This Row],[Age]]&lt;55,"45–54","55+"))))</f>
        <v>Under 25</v>
      </c>
      <c r="H505" t="s">
        <v>49</v>
      </c>
      <c r="I505" t="s">
        <v>18</v>
      </c>
      <c r="J505" t="s">
        <v>37</v>
      </c>
      <c r="K505" s="1">
        <v>41838</v>
      </c>
      <c r="M505" s="1" t="str">
        <f>IF(ISBLANK(Data[[#This Row],[EndDate]]),"Active","InActive")</f>
        <v>Active</v>
      </c>
      <c r="N505" t="s">
        <v>20</v>
      </c>
      <c r="O505" t="s">
        <v>21</v>
      </c>
      <c r="P505" t="s">
        <v>40</v>
      </c>
      <c r="Q505" s="2">
        <v>9339</v>
      </c>
    </row>
    <row r="506" spans="1:17" x14ac:dyDescent="0.2">
      <c r="A506" s="1">
        <v>43435</v>
      </c>
      <c r="B506">
        <v>43384</v>
      </c>
      <c r="C506" t="s">
        <v>79</v>
      </c>
      <c r="D506" t="s">
        <v>23</v>
      </c>
      <c r="E506" t="s">
        <v>24</v>
      </c>
      <c r="F506" s="5">
        <v>22</v>
      </c>
      <c r="G506" t="str">
        <f>IF(Data[[#This Row],[Age]]&lt;25,"Under 25",IF(Data[[#This Row],[Age]]&lt;35,"25–34",IF(Data[[#This Row],[Age]]&lt;45,"35–44",IF(Data[[#This Row],[Age]]&lt;55,"45–54","55+"))))</f>
        <v>Under 25</v>
      </c>
      <c r="H506" t="s">
        <v>25</v>
      </c>
      <c r="I506" t="s">
        <v>18</v>
      </c>
      <c r="J506" t="s">
        <v>37</v>
      </c>
      <c r="K506" s="1">
        <v>41801</v>
      </c>
      <c r="M506" s="1" t="str">
        <f>IF(ISBLANK(Data[[#This Row],[EndDate]]),"Active","InActive")</f>
        <v>Active</v>
      </c>
      <c r="N506" t="s">
        <v>20</v>
      </c>
      <c r="O506" t="s">
        <v>21</v>
      </c>
      <c r="P506" t="s">
        <v>40</v>
      </c>
      <c r="Q506" s="2">
        <v>2035</v>
      </c>
    </row>
    <row r="507" spans="1:17" x14ac:dyDescent="0.2">
      <c r="A507" s="1">
        <v>43435</v>
      </c>
      <c r="B507">
        <v>43418</v>
      </c>
      <c r="C507" t="s">
        <v>80</v>
      </c>
      <c r="D507" t="s">
        <v>15</v>
      </c>
      <c r="E507" t="s">
        <v>58</v>
      </c>
      <c r="F507" s="5">
        <v>22</v>
      </c>
      <c r="G507" t="str">
        <f>IF(Data[[#This Row],[Age]]&lt;25,"Under 25",IF(Data[[#This Row],[Age]]&lt;35,"25–34",IF(Data[[#This Row],[Age]]&lt;45,"35–44",IF(Data[[#This Row],[Age]]&lt;55,"45–54","55+"))))</f>
        <v>Under 25</v>
      </c>
      <c r="H507" t="s">
        <v>46</v>
      </c>
      <c r="I507" t="s">
        <v>18</v>
      </c>
      <c r="J507" t="s">
        <v>37</v>
      </c>
      <c r="K507" s="1">
        <v>41852</v>
      </c>
      <c r="M507" s="1" t="str">
        <f>IF(ISBLANK(Data[[#This Row],[EndDate]]),"Active","InActive")</f>
        <v>Active</v>
      </c>
      <c r="N507" t="s">
        <v>20</v>
      </c>
      <c r="O507" t="s">
        <v>21</v>
      </c>
      <c r="P507" t="s">
        <v>40</v>
      </c>
      <c r="Q507" s="2">
        <v>6072</v>
      </c>
    </row>
    <row r="508" spans="1:17" x14ac:dyDescent="0.2">
      <c r="A508" s="1">
        <v>43435</v>
      </c>
      <c r="B508">
        <v>43708</v>
      </c>
      <c r="C508" t="s">
        <v>80</v>
      </c>
      <c r="D508" t="s">
        <v>50</v>
      </c>
      <c r="E508" t="s">
        <v>63</v>
      </c>
      <c r="F508" s="5">
        <v>22</v>
      </c>
      <c r="G508" t="str">
        <f>IF(Data[[#This Row],[Age]]&lt;25,"Under 25",IF(Data[[#This Row],[Age]]&lt;35,"25–34",IF(Data[[#This Row],[Age]]&lt;45,"35–44",IF(Data[[#This Row],[Age]]&lt;55,"45–54","55+"))))</f>
        <v>Under 25</v>
      </c>
      <c r="H508" t="s">
        <v>31</v>
      </c>
      <c r="I508" t="s">
        <v>18</v>
      </c>
      <c r="J508" t="s">
        <v>37</v>
      </c>
      <c r="K508" s="1">
        <v>41774</v>
      </c>
      <c r="M508" s="1" t="str">
        <f>IF(ISBLANK(Data[[#This Row],[EndDate]]),"Active","InActive")</f>
        <v>Active</v>
      </c>
      <c r="N508" t="s">
        <v>20</v>
      </c>
      <c r="O508" t="s">
        <v>21</v>
      </c>
      <c r="P508" t="s">
        <v>40</v>
      </c>
      <c r="Q508" s="2">
        <v>1177</v>
      </c>
    </row>
    <row r="509" spans="1:17" x14ac:dyDescent="0.2">
      <c r="A509" s="1">
        <v>43435</v>
      </c>
      <c r="B509">
        <v>43756</v>
      </c>
      <c r="C509" t="s">
        <v>80</v>
      </c>
      <c r="D509" t="s">
        <v>47</v>
      </c>
      <c r="E509" t="s">
        <v>64</v>
      </c>
      <c r="F509" s="5">
        <v>22</v>
      </c>
      <c r="G509" t="str">
        <f>IF(Data[[#This Row],[Age]]&lt;25,"Under 25",IF(Data[[#This Row],[Age]]&lt;35,"25–34",IF(Data[[#This Row],[Age]]&lt;45,"35–44",IF(Data[[#This Row],[Age]]&lt;55,"45–54","55+"))))</f>
        <v>Under 25</v>
      </c>
      <c r="H509" t="s">
        <v>59</v>
      </c>
      <c r="I509" t="s">
        <v>18</v>
      </c>
      <c r="J509" t="s">
        <v>37</v>
      </c>
      <c r="K509" s="1">
        <v>41963</v>
      </c>
      <c r="M509" s="1" t="str">
        <f>IF(ISBLANK(Data[[#This Row],[EndDate]]),"Active","InActive")</f>
        <v>Active</v>
      </c>
      <c r="N509" t="s">
        <v>20</v>
      </c>
      <c r="O509" t="s">
        <v>21</v>
      </c>
      <c r="P509" t="s">
        <v>40</v>
      </c>
      <c r="Q509" s="2">
        <v>1584</v>
      </c>
    </row>
    <row r="510" spans="1:17" x14ac:dyDescent="0.2">
      <c r="A510" s="1">
        <v>43435</v>
      </c>
      <c r="B510">
        <v>49302</v>
      </c>
      <c r="C510" t="s">
        <v>79</v>
      </c>
      <c r="D510" t="s">
        <v>43</v>
      </c>
      <c r="E510" t="s">
        <v>60</v>
      </c>
      <c r="F510" s="5">
        <v>22</v>
      </c>
      <c r="G510" t="str">
        <f>IF(Data[[#This Row],[Age]]&lt;25,"Under 25",IF(Data[[#This Row],[Age]]&lt;35,"25–34",IF(Data[[#This Row],[Age]]&lt;45,"35–44",IF(Data[[#This Row],[Age]]&lt;55,"45–54","55+"))))</f>
        <v>Under 25</v>
      </c>
      <c r="H510" t="s">
        <v>49</v>
      </c>
      <c r="I510" t="s">
        <v>18</v>
      </c>
      <c r="J510" t="s">
        <v>37</v>
      </c>
      <c r="K510" s="1">
        <v>39429</v>
      </c>
      <c r="M510" s="1" t="str">
        <f>IF(ISBLANK(Data[[#This Row],[EndDate]]),"Active","InActive")</f>
        <v>Active</v>
      </c>
      <c r="N510" t="s">
        <v>20</v>
      </c>
      <c r="O510" t="s">
        <v>21</v>
      </c>
      <c r="P510" t="s">
        <v>40</v>
      </c>
      <c r="Q510" s="2">
        <v>6853</v>
      </c>
    </row>
    <row r="511" spans="1:17" x14ac:dyDescent="0.2">
      <c r="A511" s="1">
        <v>43435</v>
      </c>
      <c r="B511">
        <v>54630</v>
      </c>
      <c r="C511" t="s">
        <v>79</v>
      </c>
      <c r="D511" t="s">
        <v>43</v>
      </c>
      <c r="E511" t="s">
        <v>60</v>
      </c>
      <c r="F511" s="5">
        <v>22</v>
      </c>
      <c r="G511" t="str">
        <f>IF(Data[[#This Row],[Age]]&lt;25,"Under 25",IF(Data[[#This Row],[Age]]&lt;35,"25–34",IF(Data[[#This Row],[Age]]&lt;45,"35–44",IF(Data[[#This Row],[Age]]&lt;55,"45–54","55+"))))</f>
        <v>Under 25</v>
      </c>
      <c r="H511" t="s">
        <v>46</v>
      </c>
      <c r="I511" t="s">
        <v>18</v>
      </c>
      <c r="J511" t="s">
        <v>37</v>
      </c>
      <c r="K511" s="1">
        <v>41852</v>
      </c>
      <c r="M511" s="1" t="str">
        <f>IF(ISBLANK(Data[[#This Row],[EndDate]]),"Active","InActive")</f>
        <v>Active</v>
      </c>
      <c r="N511" t="s">
        <v>20</v>
      </c>
      <c r="O511" t="s">
        <v>21</v>
      </c>
      <c r="P511" t="s">
        <v>40</v>
      </c>
      <c r="Q511" s="2">
        <v>5159</v>
      </c>
    </row>
    <row r="512" spans="1:17" x14ac:dyDescent="0.2">
      <c r="A512" s="1">
        <v>43435</v>
      </c>
      <c r="B512">
        <v>54662</v>
      </c>
      <c r="C512" t="s">
        <v>80</v>
      </c>
      <c r="D512" t="s">
        <v>23</v>
      </c>
      <c r="E512" t="s">
        <v>71</v>
      </c>
      <c r="F512" s="5">
        <v>22</v>
      </c>
      <c r="G512" t="str">
        <f>IF(Data[[#This Row],[Age]]&lt;25,"Under 25",IF(Data[[#This Row],[Age]]&lt;35,"25–34",IF(Data[[#This Row],[Age]]&lt;45,"35–44",IF(Data[[#This Row],[Age]]&lt;55,"45–54","55+"))))</f>
        <v>Under 25</v>
      </c>
      <c r="H512" t="s">
        <v>25</v>
      </c>
      <c r="I512" t="s">
        <v>18</v>
      </c>
      <c r="J512" t="s">
        <v>37</v>
      </c>
      <c r="K512" s="1">
        <v>41333</v>
      </c>
      <c r="M512" s="1" t="str">
        <f>IF(ISBLANK(Data[[#This Row],[EndDate]]),"Active","InActive")</f>
        <v>Active</v>
      </c>
      <c r="N512" t="s">
        <v>20</v>
      </c>
      <c r="O512" t="s">
        <v>21</v>
      </c>
      <c r="P512" t="s">
        <v>40</v>
      </c>
      <c r="Q512" s="2">
        <v>7623</v>
      </c>
    </row>
    <row r="513" spans="1:17" x14ac:dyDescent="0.2">
      <c r="A513" s="1">
        <v>42705</v>
      </c>
      <c r="B513">
        <v>99318</v>
      </c>
      <c r="C513" t="s">
        <v>80</v>
      </c>
      <c r="D513" t="s">
        <v>47</v>
      </c>
      <c r="E513" t="s">
        <v>64</v>
      </c>
      <c r="F513" s="5">
        <v>22</v>
      </c>
      <c r="G513" t="str">
        <f>IF(Data[[#This Row],[Age]]&lt;25,"Under 25",IF(Data[[#This Row],[Age]]&lt;35,"25–34",IF(Data[[#This Row],[Age]]&lt;45,"35–44",IF(Data[[#This Row],[Age]]&lt;55,"45–54","55+"))))</f>
        <v>Under 25</v>
      </c>
      <c r="H513" t="s">
        <v>46</v>
      </c>
      <c r="I513" t="s">
        <v>18</v>
      </c>
      <c r="J513" t="s">
        <v>19</v>
      </c>
      <c r="K513" s="1">
        <v>41199</v>
      </c>
      <c r="M513" s="1" t="str">
        <f>IF(ISBLANK(Data[[#This Row],[EndDate]]),"Active","InActive")</f>
        <v>Active</v>
      </c>
      <c r="N513" t="s">
        <v>20</v>
      </c>
      <c r="O513" t="s">
        <v>21</v>
      </c>
      <c r="P513" t="s">
        <v>22</v>
      </c>
      <c r="Q513" s="2">
        <v>1276</v>
      </c>
    </row>
    <row r="514" spans="1:17" x14ac:dyDescent="0.2">
      <c r="A514" s="1">
        <v>42705</v>
      </c>
      <c r="B514">
        <v>100620</v>
      </c>
      <c r="C514" t="s">
        <v>79</v>
      </c>
      <c r="D514" t="s">
        <v>23</v>
      </c>
      <c r="E514" t="s">
        <v>65</v>
      </c>
      <c r="F514" s="5">
        <v>22</v>
      </c>
      <c r="G514" t="str">
        <f>IF(Data[[#This Row],[Age]]&lt;25,"Under 25",IF(Data[[#This Row],[Age]]&lt;35,"25–34",IF(Data[[#This Row],[Age]]&lt;45,"35–44",IF(Data[[#This Row],[Age]]&lt;55,"45–54","55+"))))</f>
        <v>Under 25</v>
      </c>
      <c r="H514" t="s">
        <v>17</v>
      </c>
      <c r="I514" t="s">
        <v>18</v>
      </c>
      <c r="J514" t="s">
        <v>35</v>
      </c>
      <c r="K514" s="1">
        <v>41223</v>
      </c>
      <c r="M514" s="1" t="str">
        <f>IF(ISBLANK(Data[[#This Row],[EndDate]]),"Active","InActive")</f>
        <v>Active</v>
      </c>
      <c r="N514" t="s">
        <v>20</v>
      </c>
      <c r="O514" t="s">
        <v>21</v>
      </c>
      <c r="P514" t="s">
        <v>22</v>
      </c>
      <c r="Q514" s="2">
        <v>1199</v>
      </c>
    </row>
    <row r="515" spans="1:17" x14ac:dyDescent="0.2">
      <c r="A515" s="1">
        <v>43070</v>
      </c>
      <c r="B515">
        <v>11890</v>
      </c>
      <c r="C515" t="s">
        <v>79</v>
      </c>
      <c r="D515" t="s">
        <v>43</v>
      </c>
      <c r="E515" t="s">
        <v>60</v>
      </c>
      <c r="F515" s="5">
        <v>22</v>
      </c>
      <c r="G515" t="str">
        <f>IF(Data[[#This Row],[Age]]&lt;25,"Under 25",IF(Data[[#This Row],[Age]]&lt;35,"25–34",IF(Data[[#This Row],[Age]]&lt;45,"35–44",IF(Data[[#This Row],[Age]]&lt;55,"45–54","55+"))))</f>
        <v>Under 25</v>
      </c>
      <c r="H515" t="s">
        <v>59</v>
      </c>
      <c r="I515" t="s">
        <v>18</v>
      </c>
      <c r="J515" t="s">
        <v>35</v>
      </c>
      <c r="K515" s="1">
        <v>41605</v>
      </c>
      <c r="M515" s="1" t="str">
        <f>IF(ISBLANK(Data[[#This Row],[EndDate]]),"Active","InActive")</f>
        <v>Active</v>
      </c>
      <c r="N515" t="s">
        <v>20</v>
      </c>
      <c r="O515" t="s">
        <v>21</v>
      </c>
      <c r="P515" t="s">
        <v>32</v>
      </c>
      <c r="Q515" s="2">
        <v>7227</v>
      </c>
    </row>
    <row r="516" spans="1:17" x14ac:dyDescent="0.2">
      <c r="A516" s="1">
        <v>43070</v>
      </c>
      <c r="B516">
        <v>12494</v>
      </c>
      <c r="C516" t="s">
        <v>79</v>
      </c>
      <c r="D516" t="s">
        <v>29</v>
      </c>
      <c r="E516" t="s">
        <v>30</v>
      </c>
      <c r="F516" s="5">
        <v>22</v>
      </c>
      <c r="G516" t="str">
        <f>IF(Data[[#This Row],[Age]]&lt;25,"Under 25",IF(Data[[#This Row],[Age]]&lt;35,"25–34",IF(Data[[#This Row],[Age]]&lt;45,"35–44",IF(Data[[#This Row],[Age]]&lt;55,"45–54","55+"))))</f>
        <v>Under 25</v>
      </c>
      <c r="H516" t="s">
        <v>25</v>
      </c>
      <c r="I516" t="s">
        <v>18</v>
      </c>
      <c r="J516" t="s">
        <v>35</v>
      </c>
      <c r="K516" s="1">
        <v>41605</v>
      </c>
      <c r="M516" s="1" t="str">
        <f>IF(ISBLANK(Data[[#This Row],[EndDate]]),"Active","InActive")</f>
        <v>Active</v>
      </c>
      <c r="N516" t="s">
        <v>20</v>
      </c>
      <c r="O516" t="s">
        <v>21</v>
      </c>
      <c r="P516" t="s">
        <v>32</v>
      </c>
      <c r="Q516" s="2">
        <v>6270</v>
      </c>
    </row>
    <row r="517" spans="1:17" x14ac:dyDescent="0.2">
      <c r="A517" s="1">
        <v>43070</v>
      </c>
      <c r="B517">
        <v>15922</v>
      </c>
      <c r="C517" t="s">
        <v>79</v>
      </c>
      <c r="D517" t="s">
        <v>47</v>
      </c>
      <c r="E517" t="s">
        <v>64</v>
      </c>
      <c r="F517" s="5">
        <v>22</v>
      </c>
      <c r="G517" t="str">
        <f>IF(Data[[#This Row],[Age]]&lt;25,"Under 25",IF(Data[[#This Row],[Age]]&lt;35,"25–34",IF(Data[[#This Row],[Age]]&lt;45,"35–44",IF(Data[[#This Row],[Age]]&lt;55,"45–54","55+"))))</f>
        <v>Under 25</v>
      </c>
      <c r="H517" t="s">
        <v>59</v>
      </c>
      <c r="I517" t="s">
        <v>18</v>
      </c>
      <c r="J517" t="s">
        <v>26</v>
      </c>
      <c r="K517" s="1">
        <v>41591</v>
      </c>
      <c r="M517" s="1" t="str">
        <f>IF(ISBLANK(Data[[#This Row],[EndDate]]),"Active","InActive")</f>
        <v>Active</v>
      </c>
      <c r="N517" t="s">
        <v>20</v>
      </c>
      <c r="O517" t="s">
        <v>21</v>
      </c>
      <c r="P517" t="s">
        <v>32</v>
      </c>
      <c r="Q517" s="2">
        <v>10175</v>
      </c>
    </row>
    <row r="518" spans="1:17" x14ac:dyDescent="0.2">
      <c r="A518" s="1">
        <v>43070</v>
      </c>
      <c r="B518">
        <v>30198</v>
      </c>
      <c r="C518" t="s">
        <v>79</v>
      </c>
      <c r="D518" t="s">
        <v>27</v>
      </c>
      <c r="E518" t="s">
        <v>74</v>
      </c>
      <c r="F518" s="5">
        <v>22</v>
      </c>
      <c r="G518" t="str">
        <f>IF(Data[[#This Row],[Age]]&lt;25,"Under 25",IF(Data[[#This Row],[Age]]&lt;35,"25–34",IF(Data[[#This Row],[Age]]&lt;45,"35–44",IF(Data[[#This Row],[Age]]&lt;55,"45–54","55+"))))</f>
        <v>Under 25</v>
      </c>
      <c r="H518" t="s">
        <v>31</v>
      </c>
      <c r="I518" t="s">
        <v>18</v>
      </c>
      <c r="J518" t="s">
        <v>37</v>
      </c>
      <c r="K518" s="1">
        <v>41606</v>
      </c>
      <c r="M518" s="1" t="str">
        <f>IF(ISBLANK(Data[[#This Row],[EndDate]]),"Active","InActive")</f>
        <v>Active</v>
      </c>
      <c r="N518" t="s">
        <v>20</v>
      </c>
      <c r="O518" t="s">
        <v>21</v>
      </c>
      <c r="P518" t="s">
        <v>32</v>
      </c>
      <c r="Q518" s="2">
        <v>9174</v>
      </c>
    </row>
    <row r="519" spans="1:17" x14ac:dyDescent="0.2">
      <c r="A519" s="1">
        <v>43070</v>
      </c>
      <c r="B519">
        <v>17184</v>
      </c>
      <c r="C519" t="s">
        <v>79</v>
      </c>
      <c r="D519" t="s">
        <v>47</v>
      </c>
      <c r="E519" t="s">
        <v>48</v>
      </c>
      <c r="F519" s="5">
        <v>22</v>
      </c>
      <c r="G519" t="str">
        <f>IF(Data[[#This Row],[Age]]&lt;25,"Under 25",IF(Data[[#This Row],[Age]]&lt;35,"25–34",IF(Data[[#This Row],[Age]]&lt;45,"35–44",IF(Data[[#This Row],[Age]]&lt;55,"45–54","55+"))))</f>
        <v>Under 25</v>
      </c>
      <c r="H519" t="s">
        <v>34</v>
      </c>
      <c r="I519" t="s">
        <v>56</v>
      </c>
      <c r="J519" t="s">
        <v>19</v>
      </c>
      <c r="K519" s="1">
        <v>41510</v>
      </c>
      <c r="M519" s="1" t="str">
        <f>IF(ISBLANK(Data[[#This Row],[EndDate]]),"Active","InActive")</f>
        <v>Active</v>
      </c>
      <c r="N519" t="s">
        <v>57</v>
      </c>
      <c r="O519" t="s">
        <v>21</v>
      </c>
      <c r="P519" t="s">
        <v>32</v>
      </c>
      <c r="Q519" s="2">
        <v>3608</v>
      </c>
    </row>
    <row r="520" spans="1:17" x14ac:dyDescent="0.2">
      <c r="A520" s="1">
        <v>42705</v>
      </c>
      <c r="B520">
        <v>100362</v>
      </c>
      <c r="C520" t="s">
        <v>79</v>
      </c>
      <c r="D520" t="s">
        <v>27</v>
      </c>
      <c r="E520" t="s">
        <v>72</v>
      </c>
      <c r="F520" s="5">
        <v>22</v>
      </c>
      <c r="G520" t="str">
        <f>IF(Data[[#This Row],[Age]]&lt;25,"Under 25",IF(Data[[#This Row],[Age]]&lt;35,"25–34",IF(Data[[#This Row],[Age]]&lt;45,"35–44",IF(Data[[#This Row],[Age]]&lt;55,"45–54","55+"))))</f>
        <v>Under 25</v>
      </c>
      <c r="H520" t="s">
        <v>34</v>
      </c>
      <c r="I520" t="s">
        <v>18</v>
      </c>
      <c r="J520" t="s">
        <v>35</v>
      </c>
      <c r="K520" s="1">
        <v>41243</v>
      </c>
      <c r="M520" s="1" t="str">
        <f>IF(ISBLANK(Data[[#This Row],[EndDate]]),"Active","InActive")</f>
        <v>Active</v>
      </c>
      <c r="N520" t="s">
        <v>20</v>
      </c>
      <c r="O520" t="s">
        <v>21</v>
      </c>
      <c r="P520" t="s">
        <v>22</v>
      </c>
      <c r="Q520" s="2">
        <v>9108</v>
      </c>
    </row>
    <row r="521" spans="1:17" x14ac:dyDescent="0.2">
      <c r="A521" s="1">
        <v>43070</v>
      </c>
      <c r="B521">
        <v>7972</v>
      </c>
      <c r="C521" t="s">
        <v>80</v>
      </c>
      <c r="D521" t="s">
        <v>27</v>
      </c>
      <c r="E521" t="s">
        <v>72</v>
      </c>
      <c r="F521" s="5">
        <v>22</v>
      </c>
      <c r="G521" t="str">
        <f>IF(Data[[#This Row],[Age]]&lt;25,"Under 25",IF(Data[[#This Row],[Age]]&lt;35,"25–34",IF(Data[[#This Row],[Age]]&lt;45,"35–44",IF(Data[[#This Row],[Age]]&lt;55,"45–54","55+"))))</f>
        <v>Under 25</v>
      </c>
      <c r="H521" t="s">
        <v>17</v>
      </c>
      <c r="I521" t="s">
        <v>18</v>
      </c>
      <c r="J521" t="s">
        <v>37</v>
      </c>
      <c r="K521" s="1">
        <v>41606</v>
      </c>
      <c r="M521" s="1" t="str">
        <f>IF(ISBLANK(Data[[#This Row],[EndDate]]),"Active","InActive")</f>
        <v>Active</v>
      </c>
      <c r="N521" t="s">
        <v>20</v>
      </c>
      <c r="O521" t="s">
        <v>21</v>
      </c>
      <c r="P521" t="s">
        <v>32</v>
      </c>
      <c r="Q521" s="2">
        <v>8943</v>
      </c>
    </row>
    <row r="522" spans="1:17" x14ac:dyDescent="0.2">
      <c r="A522" s="1">
        <v>43070</v>
      </c>
      <c r="B522">
        <v>13166</v>
      </c>
      <c r="C522" t="s">
        <v>79</v>
      </c>
      <c r="D522" t="s">
        <v>27</v>
      </c>
      <c r="E522" t="s">
        <v>72</v>
      </c>
      <c r="F522" s="5">
        <v>22</v>
      </c>
      <c r="G522" t="str">
        <f>IF(Data[[#This Row],[Age]]&lt;25,"Under 25",IF(Data[[#This Row],[Age]]&lt;35,"25–34",IF(Data[[#This Row],[Age]]&lt;45,"35–44",IF(Data[[#This Row],[Age]]&lt;55,"45–54","55+"))))</f>
        <v>Under 25</v>
      </c>
      <c r="H522" t="s">
        <v>46</v>
      </c>
      <c r="I522" t="s">
        <v>18</v>
      </c>
      <c r="J522" t="s">
        <v>35</v>
      </c>
      <c r="K522" s="1">
        <v>41607</v>
      </c>
      <c r="M522" s="1" t="str">
        <f>IF(ISBLANK(Data[[#This Row],[EndDate]]),"Active","InActive")</f>
        <v>Active</v>
      </c>
      <c r="N522" t="s">
        <v>20</v>
      </c>
      <c r="O522" t="s">
        <v>21</v>
      </c>
      <c r="P522" t="s">
        <v>32</v>
      </c>
      <c r="Q522" s="2">
        <v>5137</v>
      </c>
    </row>
    <row r="523" spans="1:17" x14ac:dyDescent="0.2">
      <c r="A523" s="1">
        <v>43435</v>
      </c>
      <c r="B523">
        <v>13178</v>
      </c>
      <c r="C523" t="s">
        <v>79</v>
      </c>
      <c r="D523" t="s">
        <v>27</v>
      </c>
      <c r="E523" t="s">
        <v>72</v>
      </c>
      <c r="F523" s="5">
        <v>22</v>
      </c>
      <c r="G523" t="str">
        <f>IF(Data[[#This Row],[Age]]&lt;25,"Under 25",IF(Data[[#This Row],[Age]]&lt;35,"25–34",IF(Data[[#This Row],[Age]]&lt;45,"35–44",IF(Data[[#This Row],[Age]]&lt;55,"45–54","55+"))))</f>
        <v>Under 25</v>
      </c>
      <c r="H523" t="s">
        <v>34</v>
      </c>
      <c r="I523" t="s">
        <v>18</v>
      </c>
      <c r="J523" t="s">
        <v>35</v>
      </c>
      <c r="K523" s="1">
        <v>41955</v>
      </c>
      <c r="M523" s="1" t="str">
        <f>IF(ISBLANK(Data[[#This Row],[EndDate]]),"Active","InActive")</f>
        <v>Active</v>
      </c>
      <c r="N523" t="s">
        <v>20</v>
      </c>
      <c r="O523" t="s">
        <v>21</v>
      </c>
      <c r="P523" t="s">
        <v>40</v>
      </c>
      <c r="Q523" s="2">
        <v>2508</v>
      </c>
    </row>
    <row r="524" spans="1:17" x14ac:dyDescent="0.2">
      <c r="A524" s="1">
        <v>43435</v>
      </c>
      <c r="B524">
        <v>52834</v>
      </c>
      <c r="C524" t="s">
        <v>80</v>
      </c>
      <c r="D524" t="s">
        <v>15</v>
      </c>
      <c r="E524" t="s">
        <v>58</v>
      </c>
      <c r="F524" s="5">
        <v>23</v>
      </c>
      <c r="G524" t="str">
        <f>IF(Data[[#This Row],[Age]]&lt;25,"Under 25",IF(Data[[#This Row],[Age]]&lt;35,"25–34",IF(Data[[#This Row],[Age]]&lt;45,"35–44",IF(Data[[#This Row],[Age]]&lt;55,"45–54","55+"))))</f>
        <v>Under 25</v>
      </c>
      <c r="H524" t="s">
        <v>17</v>
      </c>
      <c r="I524" t="s">
        <v>56</v>
      </c>
      <c r="J524" t="s">
        <v>37</v>
      </c>
      <c r="K524" s="1">
        <v>40933</v>
      </c>
      <c r="L524" s="1">
        <v>41053</v>
      </c>
      <c r="M524" s="1" t="str">
        <f>IF(ISBLANK(Data[[#This Row],[EndDate]]),"Active","InActive")</f>
        <v>InActive</v>
      </c>
      <c r="N524" t="s">
        <v>57</v>
      </c>
      <c r="O524" t="s">
        <v>21</v>
      </c>
      <c r="P524" t="s">
        <v>40</v>
      </c>
      <c r="Q524" s="2">
        <v>4968</v>
      </c>
    </row>
    <row r="525" spans="1:17" x14ac:dyDescent="0.2">
      <c r="A525" s="1">
        <v>43435</v>
      </c>
      <c r="B525">
        <v>95712</v>
      </c>
      <c r="C525" t="s">
        <v>79</v>
      </c>
      <c r="D525" t="s">
        <v>52</v>
      </c>
      <c r="E525" t="s">
        <v>67</v>
      </c>
      <c r="F525" s="5">
        <v>23</v>
      </c>
      <c r="G525" t="str">
        <f>IF(Data[[#This Row],[Age]]&lt;25,"Under 25",IF(Data[[#This Row],[Age]]&lt;35,"25–34",IF(Data[[#This Row],[Age]]&lt;45,"35–44",IF(Data[[#This Row],[Age]]&lt;55,"45–54","55+"))))</f>
        <v>Under 25</v>
      </c>
      <c r="H525" t="s">
        <v>49</v>
      </c>
      <c r="I525" t="s">
        <v>56</v>
      </c>
      <c r="J525" t="s">
        <v>19</v>
      </c>
      <c r="K525" s="1">
        <v>41758</v>
      </c>
      <c r="M525" s="1" t="str">
        <f>IF(ISBLANK(Data[[#This Row],[EndDate]]),"Active","InActive")</f>
        <v>Active</v>
      </c>
      <c r="N525" t="s">
        <v>57</v>
      </c>
      <c r="O525" t="s">
        <v>21</v>
      </c>
      <c r="P525" t="s">
        <v>40</v>
      </c>
      <c r="Q525" s="2">
        <v>2518.5</v>
      </c>
    </row>
    <row r="526" spans="1:17" x14ac:dyDescent="0.2">
      <c r="A526" s="1">
        <v>43435</v>
      </c>
      <c r="B526">
        <v>95750</v>
      </c>
      <c r="C526" t="s">
        <v>79</v>
      </c>
      <c r="D526" t="s">
        <v>38</v>
      </c>
      <c r="E526" t="s">
        <v>39</v>
      </c>
      <c r="F526" s="5">
        <v>23</v>
      </c>
      <c r="G526" t="str">
        <f>IF(Data[[#This Row],[Age]]&lt;25,"Under 25",IF(Data[[#This Row],[Age]]&lt;35,"25–34",IF(Data[[#This Row],[Age]]&lt;45,"35–44",IF(Data[[#This Row],[Age]]&lt;55,"45–54","55+"))))</f>
        <v>Under 25</v>
      </c>
      <c r="H526" t="s">
        <v>34</v>
      </c>
      <c r="I526" t="s">
        <v>56</v>
      </c>
      <c r="J526" t="s">
        <v>19</v>
      </c>
      <c r="K526" s="1">
        <v>41772</v>
      </c>
      <c r="M526" s="1" t="str">
        <f>IF(ISBLANK(Data[[#This Row],[EndDate]]),"Active","InActive")</f>
        <v>Active</v>
      </c>
      <c r="N526" t="s">
        <v>57</v>
      </c>
      <c r="O526" t="s">
        <v>21</v>
      </c>
      <c r="P526" t="s">
        <v>40</v>
      </c>
      <c r="Q526" s="2">
        <v>5083</v>
      </c>
    </row>
    <row r="527" spans="1:17" x14ac:dyDescent="0.2">
      <c r="A527" s="1">
        <v>42705</v>
      </c>
      <c r="B527">
        <v>42684</v>
      </c>
      <c r="C527" t="s">
        <v>80</v>
      </c>
      <c r="D527" t="s">
        <v>27</v>
      </c>
      <c r="E527" t="s">
        <v>74</v>
      </c>
      <c r="F527" s="5">
        <v>23</v>
      </c>
      <c r="G527" t="str">
        <f>IF(Data[[#This Row],[Age]]&lt;25,"Under 25",IF(Data[[#This Row],[Age]]&lt;35,"25–34",IF(Data[[#This Row],[Age]]&lt;45,"35–44",IF(Data[[#This Row],[Age]]&lt;55,"45–54","55+"))))</f>
        <v>Under 25</v>
      </c>
      <c r="H527" t="s">
        <v>49</v>
      </c>
      <c r="I527" t="s">
        <v>56</v>
      </c>
      <c r="J527" t="s">
        <v>35</v>
      </c>
      <c r="K527" s="1">
        <v>38762</v>
      </c>
      <c r="M527" s="1" t="str">
        <f>IF(ISBLANK(Data[[#This Row],[EndDate]]),"Active","InActive")</f>
        <v>Active</v>
      </c>
      <c r="N527" t="s">
        <v>57</v>
      </c>
      <c r="O527" t="s">
        <v>21</v>
      </c>
      <c r="P527" t="s">
        <v>22</v>
      </c>
      <c r="Q527" s="2">
        <v>5830.5</v>
      </c>
    </row>
    <row r="528" spans="1:17" x14ac:dyDescent="0.2">
      <c r="A528" s="1">
        <v>42705</v>
      </c>
      <c r="B528">
        <v>50838</v>
      </c>
      <c r="C528" t="s">
        <v>80</v>
      </c>
      <c r="D528" t="s">
        <v>38</v>
      </c>
      <c r="E528" t="s">
        <v>61</v>
      </c>
      <c r="F528" s="5">
        <v>23</v>
      </c>
      <c r="G528" t="str">
        <f>IF(Data[[#This Row],[Age]]&lt;25,"Under 25",IF(Data[[#This Row],[Age]]&lt;35,"25–34",IF(Data[[#This Row],[Age]]&lt;45,"35–44",IF(Data[[#This Row],[Age]]&lt;55,"45–54","55+"))))</f>
        <v>Under 25</v>
      </c>
      <c r="H528" t="s">
        <v>17</v>
      </c>
      <c r="I528" t="s">
        <v>56</v>
      </c>
      <c r="J528" t="s">
        <v>26</v>
      </c>
      <c r="K528" s="1">
        <v>40291</v>
      </c>
      <c r="M528" s="1" t="str">
        <f>IF(ISBLANK(Data[[#This Row],[EndDate]]),"Active","InActive")</f>
        <v>Active</v>
      </c>
      <c r="N528" t="s">
        <v>57</v>
      </c>
      <c r="O528" t="s">
        <v>21</v>
      </c>
      <c r="P528" t="s">
        <v>22</v>
      </c>
      <c r="Q528" s="2">
        <v>1886</v>
      </c>
    </row>
    <row r="529" spans="1:17" x14ac:dyDescent="0.2">
      <c r="A529" s="1">
        <v>42705</v>
      </c>
      <c r="B529">
        <v>123298</v>
      </c>
      <c r="C529" t="s">
        <v>79</v>
      </c>
      <c r="D529" t="s">
        <v>47</v>
      </c>
      <c r="E529" t="s">
        <v>48</v>
      </c>
      <c r="F529" s="5">
        <v>23</v>
      </c>
      <c r="G529" t="str">
        <f>IF(Data[[#This Row],[Age]]&lt;25,"Under 25",IF(Data[[#This Row],[Age]]&lt;35,"25–34",IF(Data[[#This Row],[Age]]&lt;45,"35–44",IF(Data[[#This Row],[Age]]&lt;55,"45–54","55+"))))</f>
        <v>Under 25</v>
      </c>
      <c r="H529" t="s">
        <v>31</v>
      </c>
      <c r="I529" t="s">
        <v>56</v>
      </c>
      <c r="J529" t="s">
        <v>37</v>
      </c>
      <c r="K529" s="1">
        <v>38993</v>
      </c>
      <c r="L529" s="1">
        <v>39028</v>
      </c>
      <c r="M529" s="1" t="str">
        <f>IF(ISBLANK(Data[[#This Row],[EndDate]]),"Active","InActive")</f>
        <v>InActive</v>
      </c>
      <c r="N529" t="s">
        <v>57</v>
      </c>
      <c r="O529" t="s">
        <v>21</v>
      </c>
      <c r="P529" t="s">
        <v>22</v>
      </c>
      <c r="Q529" s="2">
        <v>10005</v>
      </c>
    </row>
    <row r="530" spans="1:17" x14ac:dyDescent="0.2">
      <c r="A530" s="1">
        <v>43070</v>
      </c>
      <c r="B530">
        <v>19600</v>
      </c>
      <c r="C530" t="s">
        <v>79</v>
      </c>
      <c r="D530" t="s">
        <v>29</v>
      </c>
      <c r="E530" t="s">
        <v>30</v>
      </c>
      <c r="F530" s="5">
        <v>23</v>
      </c>
      <c r="G530" t="str">
        <f>IF(Data[[#This Row],[Age]]&lt;25,"Under 25",IF(Data[[#This Row],[Age]]&lt;35,"25–34",IF(Data[[#This Row],[Age]]&lt;45,"35–44",IF(Data[[#This Row],[Age]]&lt;55,"45–54","55+"))))</f>
        <v>Under 25</v>
      </c>
      <c r="H530" t="s">
        <v>49</v>
      </c>
      <c r="I530" t="s">
        <v>56</v>
      </c>
      <c r="J530" t="s">
        <v>37</v>
      </c>
      <c r="K530" s="1">
        <v>40660</v>
      </c>
      <c r="M530" s="1" t="str">
        <f>IF(ISBLANK(Data[[#This Row],[EndDate]]),"Active","InActive")</f>
        <v>Active</v>
      </c>
      <c r="N530" t="s">
        <v>57</v>
      </c>
      <c r="O530" t="s">
        <v>21</v>
      </c>
      <c r="P530" t="s">
        <v>32</v>
      </c>
      <c r="Q530" s="2">
        <v>10844.5</v>
      </c>
    </row>
    <row r="531" spans="1:17" x14ac:dyDescent="0.2">
      <c r="A531" s="1">
        <v>43070</v>
      </c>
      <c r="B531">
        <v>91824</v>
      </c>
      <c r="C531" t="s">
        <v>80</v>
      </c>
      <c r="D531" t="s">
        <v>29</v>
      </c>
      <c r="E531" t="s">
        <v>36</v>
      </c>
      <c r="F531" s="5">
        <v>23</v>
      </c>
      <c r="G531" t="str">
        <f>IF(Data[[#This Row],[Age]]&lt;25,"Under 25",IF(Data[[#This Row],[Age]]&lt;35,"25–34",IF(Data[[#This Row],[Age]]&lt;45,"35–44",IF(Data[[#This Row],[Age]]&lt;55,"45–54","55+"))))</f>
        <v>Under 25</v>
      </c>
      <c r="H531" t="s">
        <v>31</v>
      </c>
      <c r="I531" t="s">
        <v>56</v>
      </c>
      <c r="J531" t="s">
        <v>37</v>
      </c>
      <c r="K531" s="1">
        <v>39592</v>
      </c>
      <c r="M531" s="1" t="str">
        <f>IF(ISBLANK(Data[[#This Row],[EndDate]]),"Active","InActive")</f>
        <v>Active</v>
      </c>
      <c r="N531" t="s">
        <v>57</v>
      </c>
      <c r="O531" t="s">
        <v>21</v>
      </c>
      <c r="P531" t="s">
        <v>32</v>
      </c>
      <c r="Q531" s="2">
        <v>7751</v>
      </c>
    </row>
    <row r="532" spans="1:17" x14ac:dyDescent="0.2">
      <c r="A532" s="1">
        <v>43435</v>
      </c>
      <c r="B532">
        <v>43340</v>
      </c>
      <c r="C532" t="s">
        <v>79</v>
      </c>
      <c r="D532" t="s">
        <v>52</v>
      </c>
      <c r="E532" t="s">
        <v>67</v>
      </c>
      <c r="F532" s="5">
        <v>23</v>
      </c>
      <c r="G532" t="str">
        <f>IF(Data[[#This Row],[Age]]&lt;25,"Under 25",IF(Data[[#This Row],[Age]]&lt;35,"25–34",IF(Data[[#This Row],[Age]]&lt;45,"35–44",IF(Data[[#This Row],[Age]]&lt;55,"45–54","55+"))))</f>
        <v>Under 25</v>
      </c>
      <c r="H532" t="s">
        <v>17</v>
      </c>
      <c r="I532" t="s">
        <v>56</v>
      </c>
      <c r="J532" t="s">
        <v>35</v>
      </c>
      <c r="K532" s="1">
        <v>41506</v>
      </c>
      <c r="M532" s="1" t="str">
        <f>IF(ISBLANK(Data[[#This Row],[EndDate]]),"Active","InActive")</f>
        <v>Active</v>
      </c>
      <c r="N532" t="s">
        <v>57</v>
      </c>
      <c r="O532" t="s">
        <v>21</v>
      </c>
      <c r="P532" t="s">
        <v>40</v>
      </c>
      <c r="Q532" s="2">
        <v>9108</v>
      </c>
    </row>
    <row r="533" spans="1:17" x14ac:dyDescent="0.2">
      <c r="A533" s="1">
        <v>43435</v>
      </c>
      <c r="B533">
        <v>43342</v>
      </c>
      <c r="C533" t="s">
        <v>79</v>
      </c>
      <c r="D533" t="s">
        <v>47</v>
      </c>
      <c r="E533" t="s">
        <v>73</v>
      </c>
      <c r="F533" s="5">
        <v>23</v>
      </c>
      <c r="G533" t="str">
        <f>IF(Data[[#This Row],[Age]]&lt;25,"Under 25",IF(Data[[#This Row],[Age]]&lt;35,"25–34",IF(Data[[#This Row],[Age]]&lt;45,"35–44",IF(Data[[#This Row],[Age]]&lt;55,"45–54","55+"))))</f>
        <v>Under 25</v>
      </c>
      <c r="H533" t="s">
        <v>25</v>
      </c>
      <c r="I533" t="s">
        <v>56</v>
      </c>
      <c r="J533" t="s">
        <v>35</v>
      </c>
      <c r="K533" s="1">
        <v>40999</v>
      </c>
      <c r="M533" s="1" t="str">
        <f>IF(ISBLANK(Data[[#This Row],[EndDate]]),"Active","InActive")</f>
        <v>Active</v>
      </c>
      <c r="N533" t="s">
        <v>57</v>
      </c>
      <c r="O533" t="s">
        <v>21</v>
      </c>
      <c r="P533" t="s">
        <v>40</v>
      </c>
      <c r="Q533" s="2">
        <v>3956</v>
      </c>
    </row>
    <row r="534" spans="1:17" x14ac:dyDescent="0.2">
      <c r="A534" s="1">
        <v>43435</v>
      </c>
      <c r="B534">
        <v>43356</v>
      </c>
      <c r="C534" t="s">
        <v>79</v>
      </c>
      <c r="D534" t="s">
        <v>29</v>
      </c>
      <c r="E534" t="s">
        <v>30</v>
      </c>
      <c r="F534" s="5">
        <v>23</v>
      </c>
      <c r="G534" t="str">
        <f>IF(Data[[#This Row],[Age]]&lt;25,"Under 25",IF(Data[[#This Row],[Age]]&lt;35,"25–34",IF(Data[[#This Row],[Age]]&lt;45,"35–44",IF(Data[[#This Row],[Age]]&lt;55,"45–54","55+"))))</f>
        <v>Under 25</v>
      </c>
      <c r="H534" t="s">
        <v>46</v>
      </c>
      <c r="I534" t="s">
        <v>56</v>
      </c>
      <c r="J534" t="s">
        <v>35</v>
      </c>
      <c r="K534" s="1">
        <v>40058</v>
      </c>
      <c r="L534" s="1">
        <v>40178</v>
      </c>
      <c r="M534" s="1" t="str">
        <f>IF(ISBLANK(Data[[#This Row],[EndDate]]),"Active","InActive")</f>
        <v>InActive</v>
      </c>
      <c r="N534" t="s">
        <v>57</v>
      </c>
      <c r="O534" t="s">
        <v>21</v>
      </c>
      <c r="P534" t="s">
        <v>40</v>
      </c>
      <c r="Q534" s="2">
        <v>9476</v>
      </c>
    </row>
    <row r="535" spans="1:17" x14ac:dyDescent="0.2">
      <c r="A535" s="1">
        <v>43435</v>
      </c>
      <c r="B535">
        <v>43672</v>
      </c>
      <c r="C535" t="s">
        <v>79</v>
      </c>
      <c r="D535" t="s">
        <v>41</v>
      </c>
      <c r="E535" t="s">
        <v>62</v>
      </c>
      <c r="F535" s="5">
        <v>23</v>
      </c>
      <c r="G535" t="str">
        <f>IF(Data[[#This Row],[Age]]&lt;25,"Under 25",IF(Data[[#This Row],[Age]]&lt;35,"25–34",IF(Data[[#This Row],[Age]]&lt;45,"35–44",IF(Data[[#This Row],[Age]]&lt;55,"45–54","55+"))))</f>
        <v>Under 25</v>
      </c>
      <c r="H535" t="s">
        <v>31</v>
      </c>
      <c r="I535" t="s">
        <v>56</v>
      </c>
      <c r="J535" t="s">
        <v>37</v>
      </c>
      <c r="K535" s="1">
        <v>39024</v>
      </c>
      <c r="M535" s="1" t="str">
        <f>IF(ISBLANK(Data[[#This Row],[EndDate]]),"Active","InActive")</f>
        <v>Active</v>
      </c>
      <c r="N535" t="s">
        <v>57</v>
      </c>
      <c r="O535" t="s">
        <v>21</v>
      </c>
      <c r="P535" t="s">
        <v>40</v>
      </c>
      <c r="Q535" s="2">
        <v>11362</v>
      </c>
    </row>
    <row r="536" spans="1:17" x14ac:dyDescent="0.2">
      <c r="A536" s="1">
        <v>43435</v>
      </c>
      <c r="B536">
        <v>50386</v>
      </c>
      <c r="C536" t="s">
        <v>79</v>
      </c>
      <c r="D536" t="s">
        <v>41</v>
      </c>
      <c r="E536" t="s">
        <v>62</v>
      </c>
      <c r="F536" s="5">
        <v>23</v>
      </c>
      <c r="G536" t="str">
        <f>IF(Data[[#This Row],[Age]]&lt;25,"Under 25",IF(Data[[#This Row],[Age]]&lt;35,"25–34",IF(Data[[#This Row],[Age]]&lt;45,"35–44",IF(Data[[#This Row],[Age]]&lt;55,"45–54","55+"))))</f>
        <v>Under 25</v>
      </c>
      <c r="H536" t="s">
        <v>49</v>
      </c>
      <c r="I536" t="s">
        <v>56</v>
      </c>
      <c r="J536" t="s">
        <v>37</v>
      </c>
      <c r="K536" s="1">
        <v>40432</v>
      </c>
      <c r="M536" s="1" t="str">
        <f>IF(ISBLANK(Data[[#This Row],[EndDate]]),"Active","InActive")</f>
        <v>Active</v>
      </c>
      <c r="N536" t="s">
        <v>57</v>
      </c>
      <c r="O536" t="s">
        <v>21</v>
      </c>
      <c r="P536" t="s">
        <v>40</v>
      </c>
      <c r="Q536" s="2">
        <v>8820.5</v>
      </c>
    </row>
    <row r="537" spans="1:17" x14ac:dyDescent="0.2">
      <c r="A537" s="1">
        <v>42705</v>
      </c>
      <c r="B537">
        <v>96382</v>
      </c>
      <c r="C537" t="s">
        <v>79</v>
      </c>
      <c r="D537" t="s">
        <v>38</v>
      </c>
      <c r="E537" t="s">
        <v>45</v>
      </c>
      <c r="F537" s="5">
        <v>23</v>
      </c>
      <c r="G537" t="str">
        <f>IF(Data[[#This Row],[Age]]&lt;25,"Under 25",IF(Data[[#This Row],[Age]]&lt;35,"25–34",IF(Data[[#This Row],[Age]]&lt;45,"35–44",IF(Data[[#This Row],[Age]]&lt;55,"45–54","55+"))))</f>
        <v>Under 25</v>
      </c>
      <c r="H537" t="s">
        <v>49</v>
      </c>
      <c r="I537" t="s">
        <v>56</v>
      </c>
      <c r="J537" t="s">
        <v>19</v>
      </c>
      <c r="K537" s="1">
        <v>39406</v>
      </c>
      <c r="M537" s="1" t="str">
        <f>IF(ISBLANK(Data[[#This Row],[EndDate]]),"Active","InActive")</f>
        <v>Active</v>
      </c>
      <c r="N537" t="s">
        <v>57</v>
      </c>
      <c r="O537" t="s">
        <v>21</v>
      </c>
      <c r="P537" t="s">
        <v>22</v>
      </c>
      <c r="Q537" s="2">
        <v>10005</v>
      </c>
    </row>
    <row r="538" spans="1:17" x14ac:dyDescent="0.2">
      <c r="A538" s="1">
        <v>42705</v>
      </c>
      <c r="B538">
        <v>97066</v>
      </c>
      <c r="C538" t="s">
        <v>79</v>
      </c>
      <c r="D538" t="s">
        <v>38</v>
      </c>
      <c r="E538" t="s">
        <v>61</v>
      </c>
      <c r="F538" s="5">
        <v>23</v>
      </c>
      <c r="G538" t="str">
        <f>IF(Data[[#This Row],[Age]]&lt;25,"Under 25",IF(Data[[#This Row],[Age]]&lt;35,"25–34",IF(Data[[#This Row],[Age]]&lt;45,"35–44",IF(Data[[#This Row],[Age]]&lt;55,"45–54","55+"))))</f>
        <v>Under 25</v>
      </c>
      <c r="H538" t="s">
        <v>25</v>
      </c>
      <c r="I538" t="s">
        <v>56</v>
      </c>
      <c r="J538" t="s">
        <v>19</v>
      </c>
      <c r="K538" s="1">
        <v>40743</v>
      </c>
      <c r="M538" s="1" t="str">
        <f>IF(ISBLANK(Data[[#This Row],[EndDate]]),"Active","InActive")</f>
        <v>Active</v>
      </c>
      <c r="N538" t="s">
        <v>57</v>
      </c>
      <c r="O538" t="s">
        <v>21</v>
      </c>
      <c r="P538" t="s">
        <v>22</v>
      </c>
      <c r="Q538" s="2">
        <v>6877</v>
      </c>
    </row>
    <row r="539" spans="1:17" x14ac:dyDescent="0.2">
      <c r="A539" s="1">
        <v>43435</v>
      </c>
      <c r="B539">
        <v>96352</v>
      </c>
      <c r="C539" t="s">
        <v>79</v>
      </c>
      <c r="D539" t="s">
        <v>23</v>
      </c>
      <c r="E539" t="s">
        <v>71</v>
      </c>
      <c r="F539" s="5">
        <v>23</v>
      </c>
      <c r="G539" t="str">
        <f>IF(Data[[#This Row],[Age]]&lt;25,"Under 25",IF(Data[[#This Row],[Age]]&lt;35,"25–34",IF(Data[[#This Row],[Age]]&lt;45,"35–44",IF(Data[[#This Row],[Age]]&lt;55,"45–54","55+"))))</f>
        <v>Under 25</v>
      </c>
      <c r="H539" t="s">
        <v>34</v>
      </c>
      <c r="I539" t="s">
        <v>56</v>
      </c>
      <c r="J539" t="s">
        <v>19</v>
      </c>
      <c r="K539" s="1">
        <v>41318</v>
      </c>
      <c r="M539" s="1" t="str">
        <f>IF(ISBLANK(Data[[#This Row],[EndDate]]),"Active","InActive")</f>
        <v>Active</v>
      </c>
      <c r="N539" t="s">
        <v>57</v>
      </c>
      <c r="O539" t="s">
        <v>21</v>
      </c>
      <c r="P539" t="s">
        <v>40</v>
      </c>
      <c r="Q539" s="2">
        <v>3266</v>
      </c>
    </row>
    <row r="540" spans="1:17" x14ac:dyDescent="0.2">
      <c r="A540" s="1">
        <v>43435</v>
      </c>
      <c r="B540">
        <v>98352</v>
      </c>
      <c r="C540" t="s">
        <v>79</v>
      </c>
      <c r="D540" t="s">
        <v>52</v>
      </c>
      <c r="E540" t="s">
        <v>69</v>
      </c>
      <c r="F540" s="5">
        <v>23</v>
      </c>
      <c r="G540" t="str">
        <f>IF(Data[[#This Row],[Age]]&lt;25,"Under 25",IF(Data[[#This Row],[Age]]&lt;35,"25–34",IF(Data[[#This Row],[Age]]&lt;45,"35–44",IF(Data[[#This Row],[Age]]&lt;55,"45–54","55+"))))</f>
        <v>Under 25</v>
      </c>
      <c r="H540" t="s">
        <v>46</v>
      </c>
      <c r="I540" t="s">
        <v>56</v>
      </c>
      <c r="J540" t="s">
        <v>19</v>
      </c>
      <c r="K540" s="1">
        <v>40764</v>
      </c>
      <c r="M540" s="1" t="str">
        <f>IF(ISBLANK(Data[[#This Row],[EndDate]]),"Active","InActive")</f>
        <v>Active</v>
      </c>
      <c r="N540" t="s">
        <v>57</v>
      </c>
      <c r="O540" t="s">
        <v>21</v>
      </c>
      <c r="P540" t="s">
        <v>40</v>
      </c>
      <c r="Q540" s="2">
        <v>7417.5</v>
      </c>
    </row>
    <row r="541" spans="1:17" x14ac:dyDescent="0.2">
      <c r="A541" s="1">
        <v>42705</v>
      </c>
      <c r="B541">
        <v>41510</v>
      </c>
      <c r="C541" t="s">
        <v>80</v>
      </c>
      <c r="D541" t="s">
        <v>41</v>
      </c>
      <c r="E541" t="s">
        <v>42</v>
      </c>
      <c r="F541" s="5">
        <v>23</v>
      </c>
      <c r="G541" t="str">
        <f>IF(Data[[#This Row],[Age]]&lt;25,"Under 25",IF(Data[[#This Row],[Age]]&lt;35,"25–34",IF(Data[[#This Row],[Age]]&lt;45,"35–44",IF(Data[[#This Row],[Age]]&lt;55,"45–54","55+"))))</f>
        <v>Under 25</v>
      </c>
      <c r="H541" t="s">
        <v>49</v>
      </c>
      <c r="I541" t="s">
        <v>18</v>
      </c>
      <c r="J541" t="s">
        <v>35</v>
      </c>
      <c r="K541" s="1">
        <v>40842</v>
      </c>
      <c r="M541" s="1" t="str">
        <f>IF(ISBLANK(Data[[#This Row],[EndDate]]),"Active","InActive")</f>
        <v>Active</v>
      </c>
      <c r="N541" t="s">
        <v>20</v>
      </c>
      <c r="O541" t="s">
        <v>21</v>
      </c>
      <c r="P541" t="s">
        <v>22</v>
      </c>
      <c r="Q541" s="2">
        <v>10235</v>
      </c>
    </row>
    <row r="542" spans="1:17" x14ac:dyDescent="0.2">
      <c r="A542" s="1">
        <v>42705</v>
      </c>
      <c r="B542">
        <v>54304</v>
      </c>
      <c r="C542" t="s">
        <v>80</v>
      </c>
      <c r="D542" t="s">
        <v>27</v>
      </c>
      <c r="E542" t="s">
        <v>74</v>
      </c>
      <c r="F542" s="5">
        <v>23</v>
      </c>
      <c r="G542" t="str">
        <f>IF(Data[[#This Row],[Age]]&lt;25,"Under 25",IF(Data[[#This Row],[Age]]&lt;35,"25–34",IF(Data[[#This Row],[Age]]&lt;45,"35–44",IF(Data[[#This Row],[Age]]&lt;55,"45–54","55+"))))</f>
        <v>Under 25</v>
      </c>
      <c r="H542" t="s">
        <v>34</v>
      </c>
      <c r="I542" t="s">
        <v>18</v>
      </c>
      <c r="J542" t="s">
        <v>35</v>
      </c>
      <c r="K542" s="1">
        <v>40702</v>
      </c>
      <c r="M542" s="1" t="str">
        <f>IF(ISBLANK(Data[[#This Row],[EndDate]]),"Active","InActive")</f>
        <v>Active</v>
      </c>
      <c r="N542" t="s">
        <v>20</v>
      </c>
      <c r="O542" t="s">
        <v>21</v>
      </c>
      <c r="P542" t="s">
        <v>22</v>
      </c>
      <c r="Q542" s="2">
        <v>9913</v>
      </c>
    </row>
    <row r="543" spans="1:17" x14ac:dyDescent="0.2">
      <c r="A543" s="1">
        <v>42705</v>
      </c>
      <c r="B543">
        <v>97198</v>
      </c>
      <c r="C543" t="s">
        <v>80</v>
      </c>
      <c r="D543" t="s">
        <v>43</v>
      </c>
      <c r="E543" t="s">
        <v>66</v>
      </c>
      <c r="F543" s="5">
        <v>23</v>
      </c>
      <c r="G543" t="str">
        <f>IF(Data[[#This Row],[Age]]&lt;25,"Under 25",IF(Data[[#This Row],[Age]]&lt;35,"25–34",IF(Data[[#This Row],[Age]]&lt;45,"35–44",IF(Data[[#This Row],[Age]]&lt;55,"45–54","55+"))))</f>
        <v>Under 25</v>
      </c>
      <c r="H543" t="s">
        <v>49</v>
      </c>
      <c r="I543" t="s">
        <v>18</v>
      </c>
      <c r="J543" t="s">
        <v>19</v>
      </c>
      <c r="K543" s="1">
        <v>41206</v>
      </c>
      <c r="M543" s="1" t="str">
        <f>IF(ISBLANK(Data[[#This Row],[EndDate]]),"Active","InActive")</f>
        <v>Active</v>
      </c>
      <c r="N543" t="s">
        <v>20</v>
      </c>
      <c r="O543" t="s">
        <v>21</v>
      </c>
      <c r="P543" t="s">
        <v>22</v>
      </c>
      <c r="Q543" s="2">
        <v>7187.5</v>
      </c>
    </row>
    <row r="544" spans="1:17" x14ac:dyDescent="0.2">
      <c r="A544" s="1">
        <v>42705</v>
      </c>
      <c r="B544">
        <v>102608</v>
      </c>
      <c r="C544" t="s">
        <v>80</v>
      </c>
      <c r="D544" t="s">
        <v>23</v>
      </c>
      <c r="E544" t="s">
        <v>65</v>
      </c>
      <c r="F544" s="5">
        <v>23</v>
      </c>
      <c r="G544" t="str">
        <f>IF(Data[[#This Row],[Age]]&lt;25,"Under 25",IF(Data[[#This Row],[Age]]&lt;35,"25–34",IF(Data[[#This Row],[Age]]&lt;45,"35–44",IF(Data[[#This Row],[Age]]&lt;55,"45–54","55+"))))</f>
        <v>Under 25</v>
      </c>
      <c r="H544" t="s">
        <v>34</v>
      </c>
      <c r="I544" t="s">
        <v>18</v>
      </c>
      <c r="J544" t="s">
        <v>26</v>
      </c>
      <c r="K544" s="1">
        <v>40716</v>
      </c>
      <c r="M544" s="1" t="str">
        <f>IF(ISBLANK(Data[[#This Row],[EndDate]]),"Active","InActive")</f>
        <v>Active</v>
      </c>
      <c r="N544" t="s">
        <v>20</v>
      </c>
      <c r="O544" t="s">
        <v>21</v>
      </c>
      <c r="P544" t="s">
        <v>22</v>
      </c>
      <c r="Q544" s="2">
        <v>7049.5</v>
      </c>
    </row>
    <row r="545" spans="1:17" x14ac:dyDescent="0.2">
      <c r="A545" s="1">
        <v>42705</v>
      </c>
      <c r="B545">
        <v>112462</v>
      </c>
      <c r="C545" t="s">
        <v>80</v>
      </c>
      <c r="D545" t="s">
        <v>50</v>
      </c>
      <c r="E545" t="s">
        <v>63</v>
      </c>
      <c r="F545" s="5">
        <v>23</v>
      </c>
      <c r="G545" t="str">
        <f>IF(Data[[#This Row],[Age]]&lt;25,"Under 25",IF(Data[[#This Row],[Age]]&lt;35,"25–34",IF(Data[[#This Row],[Age]]&lt;45,"35–44",IF(Data[[#This Row],[Age]]&lt;55,"45–54","55+"))))</f>
        <v>Under 25</v>
      </c>
      <c r="H545" t="s">
        <v>17</v>
      </c>
      <c r="I545" t="s">
        <v>18</v>
      </c>
      <c r="J545" t="s">
        <v>26</v>
      </c>
      <c r="K545" s="1">
        <v>41223</v>
      </c>
      <c r="M545" s="1" t="str">
        <f>IF(ISBLANK(Data[[#This Row],[EndDate]]),"Active","InActive")</f>
        <v>Active</v>
      </c>
      <c r="N545" t="s">
        <v>20</v>
      </c>
      <c r="O545" t="s">
        <v>21</v>
      </c>
      <c r="P545" t="s">
        <v>22</v>
      </c>
      <c r="Q545" s="2">
        <v>3829.5</v>
      </c>
    </row>
    <row r="546" spans="1:17" x14ac:dyDescent="0.2">
      <c r="A546" s="1">
        <v>43070</v>
      </c>
      <c r="B546">
        <v>19870</v>
      </c>
      <c r="C546" t="s">
        <v>80</v>
      </c>
      <c r="D546" t="s">
        <v>15</v>
      </c>
      <c r="E546" t="s">
        <v>16</v>
      </c>
      <c r="F546" s="5">
        <v>23</v>
      </c>
      <c r="G546" t="str">
        <f>IF(Data[[#This Row],[Age]]&lt;25,"Under 25",IF(Data[[#This Row],[Age]]&lt;35,"25–34",IF(Data[[#This Row],[Age]]&lt;45,"35–44",IF(Data[[#This Row],[Age]]&lt;55,"45–54","55+"))))</f>
        <v>Under 25</v>
      </c>
      <c r="H546" t="s">
        <v>49</v>
      </c>
      <c r="I546" t="s">
        <v>18</v>
      </c>
      <c r="J546" t="s">
        <v>37</v>
      </c>
      <c r="K546" s="1">
        <v>41571</v>
      </c>
      <c r="M546" s="1" t="str">
        <f>IF(ISBLANK(Data[[#This Row],[EndDate]]),"Active","InActive")</f>
        <v>Active</v>
      </c>
      <c r="N546" t="s">
        <v>20</v>
      </c>
      <c r="O546" t="s">
        <v>21</v>
      </c>
      <c r="P546" t="s">
        <v>32</v>
      </c>
      <c r="Q546" s="2">
        <v>5186.5</v>
      </c>
    </row>
    <row r="547" spans="1:17" x14ac:dyDescent="0.2">
      <c r="A547" s="1">
        <v>43070</v>
      </c>
      <c r="B547">
        <v>20248</v>
      </c>
      <c r="C547" t="s">
        <v>80</v>
      </c>
      <c r="D547" t="s">
        <v>43</v>
      </c>
      <c r="E547" t="s">
        <v>60</v>
      </c>
      <c r="F547" s="5">
        <v>23</v>
      </c>
      <c r="G547" t="str">
        <f>IF(Data[[#This Row],[Age]]&lt;25,"Under 25",IF(Data[[#This Row],[Age]]&lt;35,"25–34",IF(Data[[#This Row],[Age]]&lt;45,"35–44",IF(Data[[#This Row],[Age]]&lt;55,"45–54","55+"))))</f>
        <v>Under 25</v>
      </c>
      <c r="H547" t="s">
        <v>34</v>
      </c>
      <c r="I547" t="s">
        <v>18</v>
      </c>
      <c r="J547" t="s">
        <v>37</v>
      </c>
      <c r="K547" s="1">
        <v>41424</v>
      </c>
      <c r="M547" s="1" t="str">
        <f>IF(ISBLANK(Data[[#This Row],[EndDate]]),"Active","InActive")</f>
        <v>Active</v>
      </c>
      <c r="N547" t="s">
        <v>20</v>
      </c>
      <c r="O547" t="s">
        <v>21</v>
      </c>
      <c r="P547" t="s">
        <v>32</v>
      </c>
      <c r="Q547" s="2">
        <v>6233</v>
      </c>
    </row>
    <row r="548" spans="1:17" x14ac:dyDescent="0.2">
      <c r="A548" s="1">
        <v>43070</v>
      </c>
      <c r="B548">
        <v>49368</v>
      </c>
      <c r="C548" t="s">
        <v>80</v>
      </c>
      <c r="D548" t="s">
        <v>41</v>
      </c>
      <c r="E548" t="s">
        <v>62</v>
      </c>
      <c r="F548" s="5">
        <v>23</v>
      </c>
      <c r="G548" t="str">
        <f>IF(Data[[#This Row],[Age]]&lt;25,"Under 25",IF(Data[[#This Row],[Age]]&lt;35,"25–34",IF(Data[[#This Row],[Age]]&lt;45,"35–44",IF(Data[[#This Row],[Age]]&lt;55,"45–54","55+"))))</f>
        <v>Under 25</v>
      </c>
      <c r="H548" t="s">
        <v>34</v>
      </c>
      <c r="I548" t="s">
        <v>18</v>
      </c>
      <c r="J548" t="s">
        <v>26</v>
      </c>
      <c r="K548" s="1">
        <v>41227</v>
      </c>
      <c r="M548" s="1" t="str">
        <f>IF(ISBLANK(Data[[#This Row],[EndDate]]),"Active","InActive")</f>
        <v>Active</v>
      </c>
      <c r="N548" t="s">
        <v>20</v>
      </c>
      <c r="O548" t="s">
        <v>21</v>
      </c>
      <c r="P548" t="s">
        <v>32</v>
      </c>
      <c r="Q548" s="2">
        <v>6210</v>
      </c>
    </row>
    <row r="549" spans="1:17" x14ac:dyDescent="0.2">
      <c r="A549" s="1">
        <v>43070</v>
      </c>
      <c r="B549">
        <v>55514</v>
      </c>
      <c r="C549" t="s">
        <v>80</v>
      </c>
      <c r="D549" t="s">
        <v>27</v>
      </c>
      <c r="E549" t="s">
        <v>28</v>
      </c>
      <c r="F549" s="5">
        <v>23</v>
      </c>
      <c r="G549" t="str">
        <f>IF(Data[[#This Row],[Age]]&lt;25,"Under 25",IF(Data[[#This Row],[Age]]&lt;35,"25–34",IF(Data[[#This Row],[Age]]&lt;45,"35–44",IF(Data[[#This Row],[Age]]&lt;55,"45–54","55+"))))</f>
        <v>Under 25</v>
      </c>
      <c r="H549" t="s">
        <v>31</v>
      </c>
      <c r="I549" t="s">
        <v>18</v>
      </c>
      <c r="J549" t="s">
        <v>26</v>
      </c>
      <c r="K549" s="1">
        <v>40648</v>
      </c>
      <c r="M549" s="1" t="str">
        <f>IF(ISBLANK(Data[[#This Row],[EndDate]]),"Active","InActive")</f>
        <v>Active</v>
      </c>
      <c r="N549" t="s">
        <v>20</v>
      </c>
      <c r="O549" t="s">
        <v>21</v>
      </c>
      <c r="P549" t="s">
        <v>32</v>
      </c>
      <c r="Q549" s="2">
        <v>3047.5</v>
      </c>
    </row>
    <row r="550" spans="1:17" x14ac:dyDescent="0.2">
      <c r="A550" s="1">
        <v>43070</v>
      </c>
      <c r="B550">
        <v>56276</v>
      </c>
      <c r="C550" t="s">
        <v>80</v>
      </c>
      <c r="D550" t="s">
        <v>50</v>
      </c>
      <c r="E550" t="s">
        <v>55</v>
      </c>
      <c r="F550" s="5">
        <v>23</v>
      </c>
      <c r="G550" t="str">
        <f>IF(Data[[#This Row],[Age]]&lt;25,"Under 25",IF(Data[[#This Row],[Age]]&lt;35,"25–34",IF(Data[[#This Row],[Age]]&lt;45,"35–44",IF(Data[[#This Row],[Age]]&lt;55,"45–54","55+"))))</f>
        <v>Under 25</v>
      </c>
      <c r="H550" t="s">
        <v>17</v>
      </c>
      <c r="I550" t="s">
        <v>18</v>
      </c>
      <c r="J550" t="s">
        <v>35</v>
      </c>
      <c r="K550" s="1">
        <v>41415</v>
      </c>
      <c r="M550" s="1" t="str">
        <f>IF(ISBLANK(Data[[#This Row],[EndDate]]),"Active","InActive")</f>
        <v>Active</v>
      </c>
      <c r="N550" t="s">
        <v>20</v>
      </c>
      <c r="O550" t="s">
        <v>21</v>
      </c>
      <c r="P550" t="s">
        <v>32</v>
      </c>
      <c r="Q550" s="2">
        <v>5278.5</v>
      </c>
    </row>
    <row r="551" spans="1:17" x14ac:dyDescent="0.2">
      <c r="A551" s="1">
        <v>43435</v>
      </c>
      <c r="B551">
        <v>42240</v>
      </c>
      <c r="C551" t="s">
        <v>80</v>
      </c>
      <c r="D551" t="s">
        <v>29</v>
      </c>
      <c r="E551" t="s">
        <v>36</v>
      </c>
      <c r="F551" s="5">
        <v>23</v>
      </c>
      <c r="G551" t="str">
        <f>IF(Data[[#This Row],[Age]]&lt;25,"Under 25",IF(Data[[#This Row],[Age]]&lt;35,"25–34",IF(Data[[#This Row],[Age]]&lt;45,"35–44",IF(Data[[#This Row],[Age]]&lt;55,"45–54","55+"))))</f>
        <v>Under 25</v>
      </c>
      <c r="H551" t="s">
        <v>49</v>
      </c>
      <c r="I551" t="s">
        <v>18</v>
      </c>
      <c r="J551" t="s">
        <v>35</v>
      </c>
      <c r="K551" s="1">
        <v>41864</v>
      </c>
      <c r="M551" s="1" t="str">
        <f>IF(ISBLANK(Data[[#This Row],[EndDate]]),"Active","InActive")</f>
        <v>Active</v>
      </c>
      <c r="N551" t="s">
        <v>20</v>
      </c>
      <c r="O551" t="s">
        <v>21</v>
      </c>
      <c r="P551" t="s">
        <v>40</v>
      </c>
      <c r="Q551" s="2">
        <v>6267.5</v>
      </c>
    </row>
    <row r="552" spans="1:17" x14ac:dyDescent="0.2">
      <c r="A552" s="1">
        <v>43435</v>
      </c>
      <c r="B552">
        <v>42468</v>
      </c>
      <c r="C552" t="s">
        <v>80</v>
      </c>
      <c r="D552" t="s">
        <v>27</v>
      </c>
      <c r="E552" t="s">
        <v>72</v>
      </c>
      <c r="F552" s="5">
        <v>23</v>
      </c>
      <c r="G552" t="str">
        <f>IF(Data[[#This Row],[Age]]&lt;25,"Under 25",IF(Data[[#This Row],[Age]]&lt;35,"25–34",IF(Data[[#This Row],[Age]]&lt;45,"35–44",IF(Data[[#This Row],[Age]]&lt;55,"45–54","55+"))))</f>
        <v>Under 25</v>
      </c>
      <c r="H552" t="s">
        <v>17</v>
      </c>
      <c r="I552" t="s">
        <v>18</v>
      </c>
      <c r="J552" t="s">
        <v>35</v>
      </c>
      <c r="K552" s="1">
        <v>41783</v>
      </c>
      <c r="M552" s="1" t="str">
        <f>IF(ISBLANK(Data[[#This Row],[EndDate]]),"Active","InActive")</f>
        <v>Active</v>
      </c>
      <c r="N552" t="s">
        <v>20</v>
      </c>
      <c r="O552" t="s">
        <v>21</v>
      </c>
      <c r="P552" t="s">
        <v>40</v>
      </c>
      <c r="Q552" s="2">
        <v>3415.5</v>
      </c>
    </row>
    <row r="553" spans="1:17" x14ac:dyDescent="0.2">
      <c r="A553" s="1">
        <v>43435</v>
      </c>
      <c r="B553">
        <v>42874</v>
      </c>
      <c r="C553" t="s">
        <v>80</v>
      </c>
      <c r="D553" t="s">
        <v>15</v>
      </c>
      <c r="E553" t="s">
        <v>58</v>
      </c>
      <c r="F553" s="5">
        <v>23</v>
      </c>
      <c r="G553" t="str">
        <f>IF(Data[[#This Row],[Age]]&lt;25,"Under 25",IF(Data[[#This Row],[Age]]&lt;35,"25–34",IF(Data[[#This Row],[Age]]&lt;45,"35–44",IF(Data[[#This Row],[Age]]&lt;55,"45–54","55+"))))</f>
        <v>Under 25</v>
      </c>
      <c r="H553" t="s">
        <v>59</v>
      </c>
      <c r="I553" t="s">
        <v>18</v>
      </c>
      <c r="J553" t="s">
        <v>35</v>
      </c>
      <c r="K553" s="1">
        <v>41949</v>
      </c>
      <c r="M553" s="1" t="str">
        <f>IF(ISBLANK(Data[[#This Row],[EndDate]]),"Active","InActive")</f>
        <v>Active</v>
      </c>
      <c r="N553" t="s">
        <v>20</v>
      </c>
      <c r="O553" t="s">
        <v>21</v>
      </c>
      <c r="P553" t="s">
        <v>40</v>
      </c>
      <c r="Q553" s="2">
        <v>2518.5</v>
      </c>
    </row>
    <row r="554" spans="1:17" x14ac:dyDescent="0.2">
      <c r="A554" s="1">
        <v>43435</v>
      </c>
      <c r="B554">
        <v>44088</v>
      </c>
      <c r="C554" t="s">
        <v>80</v>
      </c>
      <c r="D554" t="s">
        <v>41</v>
      </c>
      <c r="E554" t="s">
        <v>42</v>
      </c>
      <c r="F554" s="5">
        <v>23</v>
      </c>
      <c r="G554" t="str">
        <f>IF(Data[[#This Row],[Age]]&lt;25,"Under 25",IF(Data[[#This Row],[Age]]&lt;35,"25–34",IF(Data[[#This Row],[Age]]&lt;45,"35–44",IF(Data[[#This Row],[Age]]&lt;55,"45–54","55+"))))</f>
        <v>Under 25</v>
      </c>
      <c r="H554" t="s">
        <v>25</v>
      </c>
      <c r="I554" t="s">
        <v>18</v>
      </c>
      <c r="J554" t="s">
        <v>37</v>
      </c>
      <c r="K554" s="1">
        <v>41898</v>
      </c>
      <c r="M554" s="1" t="str">
        <f>IF(ISBLANK(Data[[#This Row],[EndDate]]),"Active","InActive")</f>
        <v>Active</v>
      </c>
      <c r="N554" t="s">
        <v>20</v>
      </c>
      <c r="O554" t="s">
        <v>21</v>
      </c>
      <c r="P554" t="s">
        <v>40</v>
      </c>
      <c r="Q554" s="2">
        <v>10867.5</v>
      </c>
    </row>
    <row r="555" spans="1:17" x14ac:dyDescent="0.2">
      <c r="A555" s="1">
        <v>43435</v>
      </c>
      <c r="B555">
        <v>44122</v>
      </c>
      <c r="C555" t="s">
        <v>80</v>
      </c>
      <c r="D555" t="s">
        <v>50</v>
      </c>
      <c r="E555" t="s">
        <v>51</v>
      </c>
      <c r="F555" s="5">
        <v>23</v>
      </c>
      <c r="G555" t="str">
        <f>IF(Data[[#This Row],[Age]]&lt;25,"Under 25",IF(Data[[#This Row],[Age]]&lt;35,"25–34",IF(Data[[#This Row],[Age]]&lt;45,"35–44",IF(Data[[#This Row],[Age]]&lt;55,"45–54","55+"))))</f>
        <v>Under 25</v>
      </c>
      <c r="H555" t="s">
        <v>25</v>
      </c>
      <c r="I555" t="s">
        <v>18</v>
      </c>
      <c r="J555" t="s">
        <v>37</v>
      </c>
      <c r="K555" s="1">
        <v>41921</v>
      </c>
      <c r="M555" s="1" t="str">
        <f>IF(ISBLANK(Data[[#This Row],[EndDate]]),"Active","InActive")</f>
        <v>Active</v>
      </c>
      <c r="N555" t="s">
        <v>20</v>
      </c>
      <c r="O555" t="s">
        <v>21</v>
      </c>
      <c r="P555" t="s">
        <v>40</v>
      </c>
      <c r="Q555" s="2">
        <v>3289</v>
      </c>
    </row>
    <row r="556" spans="1:17" x14ac:dyDescent="0.2">
      <c r="A556" s="1">
        <v>43435</v>
      </c>
      <c r="B556">
        <v>52372</v>
      </c>
      <c r="C556" t="s">
        <v>80</v>
      </c>
      <c r="D556" t="s">
        <v>27</v>
      </c>
      <c r="E556" t="s">
        <v>74</v>
      </c>
      <c r="F556" s="5">
        <v>23</v>
      </c>
      <c r="G556" t="str">
        <f>IF(Data[[#This Row],[Age]]&lt;25,"Under 25",IF(Data[[#This Row],[Age]]&lt;35,"25–34",IF(Data[[#This Row],[Age]]&lt;45,"35–44",IF(Data[[#This Row],[Age]]&lt;55,"45–54","55+"))))</f>
        <v>Under 25</v>
      </c>
      <c r="H556" t="s">
        <v>31</v>
      </c>
      <c r="I556" t="s">
        <v>18</v>
      </c>
      <c r="J556" t="s">
        <v>35</v>
      </c>
      <c r="K556" s="1">
        <v>41801</v>
      </c>
      <c r="M556" s="1" t="str">
        <f>IF(ISBLANK(Data[[#This Row],[EndDate]]),"Active","InActive")</f>
        <v>Active</v>
      </c>
      <c r="N556" t="s">
        <v>20</v>
      </c>
      <c r="O556" t="s">
        <v>21</v>
      </c>
      <c r="P556" t="s">
        <v>40</v>
      </c>
      <c r="Q556" s="2">
        <v>2334.5</v>
      </c>
    </row>
    <row r="557" spans="1:17" x14ac:dyDescent="0.2">
      <c r="A557" s="1">
        <v>43435</v>
      </c>
      <c r="B557">
        <v>53382</v>
      </c>
      <c r="C557" t="s">
        <v>80</v>
      </c>
      <c r="D557" t="s">
        <v>52</v>
      </c>
      <c r="E557" t="s">
        <v>53</v>
      </c>
      <c r="F557" s="5">
        <v>23</v>
      </c>
      <c r="G557" t="str">
        <f>IF(Data[[#This Row],[Age]]&lt;25,"Under 25",IF(Data[[#This Row],[Age]]&lt;35,"25–34",IF(Data[[#This Row],[Age]]&lt;45,"35–44",IF(Data[[#This Row],[Age]]&lt;55,"45–54","55+"))))</f>
        <v>Under 25</v>
      </c>
      <c r="H557" t="s">
        <v>59</v>
      </c>
      <c r="I557" t="s">
        <v>18</v>
      </c>
      <c r="J557" t="s">
        <v>35</v>
      </c>
      <c r="K557" s="1">
        <v>41794</v>
      </c>
      <c r="M557" s="1" t="str">
        <f>IF(ISBLANK(Data[[#This Row],[EndDate]]),"Active","InActive")</f>
        <v>Active</v>
      </c>
      <c r="N557" t="s">
        <v>20</v>
      </c>
      <c r="O557" t="s">
        <v>21</v>
      </c>
      <c r="P557" t="s">
        <v>40</v>
      </c>
      <c r="Q557" s="2">
        <v>8682.5</v>
      </c>
    </row>
    <row r="558" spans="1:17" x14ac:dyDescent="0.2">
      <c r="A558" s="1">
        <v>43435</v>
      </c>
      <c r="B558">
        <v>55552</v>
      </c>
      <c r="C558" t="s">
        <v>80</v>
      </c>
      <c r="D558" t="s">
        <v>41</v>
      </c>
      <c r="E558" t="s">
        <v>42</v>
      </c>
      <c r="F558" s="5">
        <v>23</v>
      </c>
      <c r="G558" t="str">
        <f>IF(Data[[#This Row],[Age]]&lt;25,"Under 25",IF(Data[[#This Row],[Age]]&lt;35,"25–34",IF(Data[[#This Row],[Age]]&lt;45,"35–44",IF(Data[[#This Row],[Age]]&lt;55,"45–54","55+"))))</f>
        <v>Under 25</v>
      </c>
      <c r="H558" t="s">
        <v>17</v>
      </c>
      <c r="I558" t="s">
        <v>18</v>
      </c>
      <c r="J558" t="s">
        <v>37</v>
      </c>
      <c r="K558" s="1">
        <v>41829</v>
      </c>
      <c r="L558" s="1">
        <v>41949</v>
      </c>
      <c r="M558" s="1" t="str">
        <f>IF(ISBLANK(Data[[#This Row],[EndDate]]),"Active","InActive")</f>
        <v>InActive</v>
      </c>
      <c r="N558" t="s">
        <v>20</v>
      </c>
      <c r="O558" t="s">
        <v>21</v>
      </c>
      <c r="P558" t="s">
        <v>40</v>
      </c>
      <c r="Q558" s="2">
        <v>8222.5</v>
      </c>
    </row>
    <row r="559" spans="1:17" x14ac:dyDescent="0.2">
      <c r="A559" s="1">
        <v>42705</v>
      </c>
      <c r="B559">
        <v>100782</v>
      </c>
      <c r="C559" t="s">
        <v>80</v>
      </c>
      <c r="D559" t="s">
        <v>27</v>
      </c>
      <c r="E559" t="s">
        <v>28</v>
      </c>
      <c r="F559" s="5">
        <v>23</v>
      </c>
      <c r="G559" t="str">
        <f>IF(Data[[#This Row],[Age]]&lt;25,"Under 25",IF(Data[[#This Row],[Age]]&lt;35,"25–34",IF(Data[[#This Row],[Age]]&lt;45,"35–44",IF(Data[[#This Row],[Age]]&lt;55,"45–54","55+"))))</f>
        <v>Under 25</v>
      </c>
      <c r="H559" t="s">
        <v>46</v>
      </c>
      <c r="I559" t="s">
        <v>18</v>
      </c>
      <c r="J559" t="s">
        <v>37</v>
      </c>
      <c r="K559" s="1">
        <v>41207</v>
      </c>
      <c r="M559" s="1" t="str">
        <f>IF(ISBLANK(Data[[#This Row],[EndDate]]),"Active","InActive")</f>
        <v>Active</v>
      </c>
      <c r="N559" t="s">
        <v>20</v>
      </c>
      <c r="O559" t="s">
        <v>21</v>
      </c>
      <c r="P559" t="s">
        <v>22</v>
      </c>
      <c r="Q559" s="2">
        <v>10764</v>
      </c>
    </row>
    <row r="560" spans="1:17" x14ac:dyDescent="0.2">
      <c r="A560" s="1">
        <v>42705</v>
      </c>
      <c r="B560">
        <v>110834</v>
      </c>
      <c r="C560" t="s">
        <v>80</v>
      </c>
      <c r="D560" t="s">
        <v>43</v>
      </c>
      <c r="E560" t="s">
        <v>44</v>
      </c>
      <c r="F560" s="5">
        <v>23</v>
      </c>
      <c r="G560" t="str">
        <f>IF(Data[[#This Row],[Age]]&lt;25,"Under 25",IF(Data[[#This Row],[Age]]&lt;35,"25–34",IF(Data[[#This Row],[Age]]&lt;45,"35–44",IF(Data[[#This Row],[Age]]&lt;55,"45–54","55+"))))</f>
        <v>Under 25</v>
      </c>
      <c r="H560" t="s">
        <v>46</v>
      </c>
      <c r="I560" t="s">
        <v>18</v>
      </c>
      <c r="J560" t="s">
        <v>37</v>
      </c>
      <c r="K560" s="1">
        <v>39534</v>
      </c>
      <c r="M560" s="1" t="str">
        <f>IF(ISBLANK(Data[[#This Row],[EndDate]]),"Active","InActive")</f>
        <v>Active</v>
      </c>
      <c r="N560" t="s">
        <v>20</v>
      </c>
      <c r="O560" t="s">
        <v>21</v>
      </c>
      <c r="P560" t="s">
        <v>22</v>
      </c>
      <c r="Q560" s="2">
        <v>7038</v>
      </c>
    </row>
    <row r="561" spans="1:17" x14ac:dyDescent="0.2">
      <c r="A561" s="1">
        <v>43070</v>
      </c>
      <c r="B561">
        <v>51134</v>
      </c>
      <c r="C561" t="s">
        <v>80</v>
      </c>
      <c r="D561" t="s">
        <v>23</v>
      </c>
      <c r="E561" t="s">
        <v>71</v>
      </c>
      <c r="F561" s="5">
        <v>23</v>
      </c>
      <c r="G561" t="str">
        <f>IF(Data[[#This Row],[Age]]&lt;25,"Under 25",IF(Data[[#This Row],[Age]]&lt;35,"25–34",IF(Data[[#This Row],[Age]]&lt;45,"35–44",IF(Data[[#This Row],[Age]]&lt;55,"45–54","55+"))))</f>
        <v>Under 25</v>
      </c>
      <c r="H561" t="s">
        <v>46</v>
      </c>
      <c r="I561" t="s">
        <v>18</v>
      </c>
      <c r="J561" t="s">
        <v>35</v>
      </c>
      <c r="K561" s="1">
        <v>41493</v>
      </c>
      <c r="L561" s="1">
        <v>41593</v>
      </c>
      <c r="M561" s="1" t="str">
        <f>IF(ISBLANK(Data[[#This Row],[EndDate]]),"Active","InActive")</f>
        <v>InActive</v>
      </c>
      <c r="N561" t="s">
        <v>20</v>
      </c>
      <c r="O561" t="s">
        <v>21</v>
      </c>
      <c r="P561" t="s">
        <v>32</v>
      </c>
      <c r="Q561" s="2">
        <v>11097.5</v>
      </c>
    </row>
    <row r="562" spans="1:17" x14ac:dyDescent="0.2">
      <c r="A562" s="1">
        <v>43070</v>
      </c>
      <c r="B562">
        <v>52446</v>
      </c>
      <c r="C562" t="s">
        <v>80</v>
      </c>
      <c r="D562" t="s">
        <v>52</v>
      </c>
      <c r="E562" t="s">
        <v>67</v>
      </c>
      <c r="F562" s="5">
        <v>23</v>
      </c>
      <c r="G562" t="str">
        <f>IF(Data[[#This Row],[Age]]&lt;25,"Under 25",IF(Data[[#This Row],[Age]]&lt;35,"25–34",IF(Data[[#This Row],[Age]]&lt;45,"35–44",IF(Data[[#This Row],[Age]]&lt;55,"45–54","55+"))))</f>
        <v>Under 25</v>
      </c>
      <c r="H562" t="s">
        <v>46</v>
      </c>
      <c r="I562" t="s">
        <v>18</v>
      </c>
      <c r="J562" t="s">
        <v>37</v>
      </c>
      <c r="K562" s="1">
        <v>41320</v>
      </c>
      <c r="M562" s="1" t="str">
        <f>IF(ISBLANK(Data[[#This Row],[EndDate]]),"Active","InActive")</f>
        <v>Active</v>
      </c>
      <c r="N562" t="s">
        <v>20</v>
      </c>
      <c r="O562" t="s">
        <v>21</v>
      </c>
      <c r="P562" t="s">
        <v>32</v>
      </c>
      <c r="Q562" s="2">
        <v>5313</v>
      </c>
    </row>
    <row r="563" spans="1:17" x14ac:dyDescent="0.2">
      <c r="A563" s="1">
        <v>43070</v>
      </c>
      <c r="B563">
        <v>54316</v>
      </c>
      <c r="C563" t="s">
        <v>80</v>
      </c>
      <c r="D563" t="s">
        <v>23</v>
      </c>
      <c r="E563" t="s">
        <v>71</v>
      </c>
      <c r="F563" s="5">
        <v>23</v>
      </c>
      <c r="G563" t="str">
        <f>IF(Data[[#This Row],[Age]]&lt;25,"Under 25",IF(Data[[#This Row],[Age]]&lt;35,"25–34",IF(Data[[#This Row],[Age]]&lt;45,"35–44",IF(Data[[#This Row],[Age]]&lt;55,"45–54","55+"))))</f>
        <v>Under 25</v>
      </c>
      <c r="H563" t="s">
        <v>46</v>
      </c>
      <c r="I563" t="s">
        <v>18</v>
      </c>
      <c r="J563" t="s">
        <v>37</v>
      </c>
      <c r="K563" s="1">
        <v>38973</v>
      </c>
      <c r="M563" s="1" t="str">
        <f>IF(ISBLANK(Data[[#This Row],[EndDate]]),"Active","InActive")</f>
        <v>Active</v>
      </c>
      <c r="N563" t="s">
        <v>20</v>
      </c>
      <c r="O563" t="s">
        <v>21</v>
      </c>
      <c r="P563" t="s">
        <v>32</v>
      </c>
      <c r="Q563" s="2">
        <v>7935</v>
      </c>
    </row>
    <row r="564" spans="1:17" x14ac:dyDescent="0.2">
      <c r="A564" s="1">
        <v>43435</v>
      </c>
      <c r="B564">
        <v>43128</v>
      </c>
      <c r="C564" t="s">
        <v>80</v>
      </c>
      <c r="D564" t="s">
        <v>47</v>
      </c>
      <c r="E564" t="s">
        <v>48</v>
      </c>
      <c r="F564" s="5">
        <v>23</v>
      </c>
      <c r="G564" t="str">
        <f>IF(Data[[#This Row],[Age]]&lt;25,"Under 25",IF(Data[[#This Row],[Age]]&lt;35,"25–34",IF(Data[[#This Row],[Age]]&lt;45,"35–44",IF(Data[[#This Row],[Age]]&lt;55,"45–54","55+"))))</f>
        <v>Under 25</v>
      </c>
      <c r="H564" t="s">
        <v>46</v>
      </c>
      <c r="I564" t="s">
        <v>18</v>
      </c>
      <c r="J564" t="s">
        <v>35</v>
      </c>
      <c r="K564" s="1">
        <v>40964</v>
      </c>
      <c r="L564" s="1">
        <v>41084</v>
      </c>
      <c r="M564" s="1" t="str">
        <f>IF(ISBLANK(Data[[#This Row],[EndDate]]),"Active","InActive")</f>
        <v>InActive</v>
      </c>
      <c r="N564" t="s">
        <v>20</v>
      </c>
      <c r="O564" t="s">
        <v>21</v>
      </c>
      <c r="P564" t="s">
        <v>40</v>
      </c>
      <c r="Q564" s="2">
        <v>8073</v>
      </c>
    </row>
    <row r="565" spans="1:17" x14ac:dyDescent="0.2">
      <c r="A565" s="1">
        <v>43435</v>
      </c>
      <c r="B565">
        <v>50798</v>
      </c>
      <c r="C565" t="s">
        <v>80</v>
      </c>
      <c r="D565" t="s">
        <v>15</v>
      </c>
      <c r="E565" t="s">
        <v>70</v>
      </c>
      <c r="F565" s="5">
        <v>23</v>
      </c>
      <c r="G565" t="str">
        <f>IF(Data[[#This Row],[Age]]&lt;25,"Under 25",IF(Data[[#This Row],[Age]]&lt;35,"25–34",IF(Data[[#This Row],[Age]]&lt;45,"35–44",IF(Data[[#This Row],[Age]]&lt;55,"45–54","55+"))))</f>
        <v>Under 25</v>
      </c>
      <c r="H565" t="s">
        <v>46</v>
      </c>
      <c r="I565" t="s">
        <v>18</v>
      </c>
      <c r="J565" t="s">
        <v>35</v>
      </c>
      <c r="K565" s="1">
        <v>41885</v>
      </c>
      <c r="M565" s="1" t="str">
        <f>IF(ISBLANK(Data[[#This Row],[EndDate]]),"Active","InActive")</f>
        <v>Active</v>
      </c>
      <c r="N565" t="s">
        <v>20</v>
      </c>
      <c r="O565" t="s">
        <v>21</v>
      </c>
      <c r="P565" t="s">
        <v>40</v>
      </c>
      <c r="Q565" s="2">
        <v>5232.5</v>
      </c>
    </row>
    <row r="566" spans="1:17" x14ac:dyDescent="0.2">
      <c r="A566" s="1">
        <v>43435</v>
      </c>
      <c r="B566">
        <v>52004</v>
      </c>
      <c r="C566" t="s">
        <v>80</v>
      </c>
      <c r="D566" t="s">
        <v>50</v>
      </c>
      <c r="E566" t="s">
        <v>51</v>
      </c>
      <c r="F566" s="5">
        <v>23</v>
      </c>
      <c r="G566" t="str">
        <f>IF(Data[[#This Row],[Age]]&lt;25,"Under 25",IF(Data[[#This Row],[Age]]&lt;35,"25–34",IF(Data[[#This Row],[Age]]&lt;45,"35–44",IF(Data[[#This Row],[Age]]&lt;55,"45–54","55+"))))</f>
        <v>Under 25</v>
      </c>
      <c r="H566" t="s">
        <v>46</v>
      </c>
      <c r="I566" t="s">
        <v>18</v>
      </c>
      <c r="J566" t="s">
        <v>37</v>
      </c>
      <c r="K566" s="1">
        <v>41299</v>
      </c>
      <c r="M566" s="1" t="str">
        <f>IF(ISBLANK(Data[[#This Row],[EndDate]]),"Active","InActive")</f>
        <v>Active</v>
      </c>
      <c r="N566" t="s">
        <v>20</v>
      </c>
      <c r="O566" t="s">
        <v>21</v>
      </c>
      <c r="P566" t="s">
        <v>40</v>
      </c>
      <c r="Q566" s="2">
        <v>3622.5</v>
      </c>
    </row>
    <row r="567" spans="1:17" x14ac:dyDescent="0.2">
      <c r="A567" s="1">
        <v>42705</v>
      </c>
      <c r="B567">
        <v>4340</v>
      </c>
      <c r="C567" t="s">
        <v>79</v>
      </c>
      <c r="D567" t="s">
        <v>29</v>
      </c>
      <c r="E567" t="s">
        <v>33</v>
      </c>
      <c r="F567" s="5">
        <v>23</v>
      </c>
      <c r="G567" t="str">
        <f>IF(Data[[#This Row],[Age]]&lt;25,"Under 25",IF(Data[[#This Row],[Age]]&lt;35,"25–34",IF(Data[[#This Row],[Age]]&lt;45,"35–44",IF(Data[[#This Row],[Age]]&lt;55,"45–54","55+"))))</f>
        <v>Under 25</v>
      </c>
      <c r="H567" t="s">
        <v>46</v>
      </c>
      <c r="I567" t="s">
        <v>18</v>
      </c>
      <c r="J567" t="s">
        <v>35</v>
      </c>
      <c r="K567" s="1">
        <v>41214</v>
      </c>
      <c r="M567" s="1" t="str">
        <f>IF(ISBLANK(Data[[#This Row],[EndDate]]),"Active","InActive")</f>
        <v>Active</v>
      </c>
      <c r="N567" t="s">
        <v>20</v>
      </c>
      <c r="O567" t="s">
        <v>21</v>
      </c>
      <c r="P567" t="s">
        <v>22</v>
      </c>
      <c r="Q567" s="2">
        <v>4864.5</v>
      </c>
    </row>
    <row r="568" spans="1:17" x14ac:dyDescent="0.2">
      <c r="A568" s="1">
        <v>42705</v>
      </c>
      <c r="B568">
        <v>10742</v>
      </c>
      <c r="C568" t="s">
        <v>79</v>
      </c>
      <c r="D568" t="s">
        <v>52</v>
      </c>
      <c r="E568" t="s">
        <v>53</v>
      </c>
      <c r="F568" s="5">
        <v>23</v>
      </c>
      <c r="G568" t="str">
        <f>IF(Data[[#This Row],[Age]]&lt;25,"Under 25",IF(Data[[#This Row],[Age]]&lt;35,"25–34",IF(Data[[#This Row],[Age]]&lt;45,"35–44",IF(Data[[#This Row],[Age]]&lt;55,"45–54","55+"))))</f>
        <v>Under 25</v>
      </c>
      <c r="H568" t="s">
        <v>17</v>
      </c>
      <c r="I568" t="s">
        <v>18</v>
      </c>
      <c r="J568" t="s">
        <v>35</v>
      </c>
      <c r="K568" s="1">
        <v>41080</v>
      </c>
      <c r="M568" s="1" t="str">
        <f>IF(ISBLANK(Data[[#This Row],[EndDate]]),"Active","InActive")</f>
        <v>Active</v>
      </c>
      <c r="N568" t="s">
        <v>20</v>
      </c>
      <c r="O568" t="s">
        <v>21</v>
      </c>
      <c r="P568" t="s">
        <v>22</v>
      </c>
      <c r="Q568" s="2">
        <v>1449</v>
      </c>
    </row>
    <row r="569" spans="1:17" x14ac:dyDescent="0.2">
      <c r="A569" s="1">
        <v>42705</v>
      </c>
      <c r="B569">
        <v>51974</v>
      </c>
      <c r="C569" t="s">
        <v>79</v>
      </c>
      <c r="D569" t="s">
        <v>29</v>
      </c>
      <c r="E569" t="s">
        <v>36</v>
      </c>
      <c r="F569" s="5">
        <v>23</v>
      </c>
      <c r="G569" t="str">
        <f>IF(Data[[#This Row],[Age]]&lt;25,"Under 25",IF(Data[[#This Row],[Age]]&lt;35,"25–34",IF(Data[[#This Row],[Age]]&lt;45,"35–44",IF(Data[[#This Row],[Age]]&lt;55,"45–54","55+"))))</f>
        <v>Under 25</v>
      </c>
      <c r="H569" t="s">
        <v>34</v>
      </c>
      <c r="I569" t="s">
        <v>18</v>
      </c>
      <c r="J569" t="s">
        <v>37</v>
      </c>
      <c r="K569" s="1">
        <v>40757</v>
      </c>
      <c r="M569" s="1" t="str">
        <f>IF(ISBLANK(Data[[#This Row],[EndDate]]),"Active","InActive")</f>
        <v>Active</v>
      </c>
      <c r="N569" t="s">
        <v>20</v>
      </c>
      <c r="O569" t="s">
        <v>21</v>
      </c>
      <c r="P569" t="s">
        <v>22</v>
      </c>
      <c r="Q569" s="2">
        <v>1966.5</v>
      </c>
    </row>
    <row r="570" spans="1:17" x14ac:dyDescent="0.2">
      <c r="A570" s="1">
        <v>42705</v>
      </c>
      <c r="B570">
        <v>103658</v>
      </c>
      <c r="C570" t="s">
        <v>79</v>
      </c>
      <c r="D570" t="s">
        <v>52</v>
      </c>
      <c r="E570" t="s">
        <v>69</v>
      </c>
      <c r="F570" s="5">
        <v>23</v>
      </c>
      <c r="G570" t="str">
        <f>IF(Data[[#This Row],[Age]]&lt;25,"Under 25",IF(Data[[#This Row],[Age]]&lt;35,"25–34",IF(Data[[#This Row],[Age]]&lt;45,"35–44",IF(Data[[#This Row],[Age]]&lt;55,"45–54","55+"))))</f>
        <v>Under 25</v>
      </c>
      <c r="H570" t="s">
        <v>17</v>
      </c>
      <c r="I570" t="s">
        <v>18</v>
      </c>
      <c r="J570" t="s">
        <v>35</v>
      </c>
      <c r="K570" s="1">
        <v>41229</v>
      </c>
      <c r="M570" s="1" t="str">
        <f>IF(ISBLANK(Data[[#This Row],[EndDate]]),"Active","InActive")</f>
        <v>Active</v>
      </c>
      <c r="N570" t="s">
        <v>20</v>
      </c>
      <c r="O570" t="s">
        <v>21</v>
      </c>
      <c r="P570" t="s">
        <v>22</v>
      </c>
      <c r="Q570" s="2">
        <v>4243.5</v>
      </c>
    </row>
    <row r="571" spans="1:17" x14ac:dyDescent="0.2">
      <c r="A571" s="1">
        <v>43070</v>
      </c>
      <c r="B571">
        <v>17146</v>
      </c>
      <c r="C571" t="s">
        <v>79</v>
      </c>
      <c r="D571" t="s">
        <v>50</v>
      </c>
      <c r="E571" t="s">
        <v>63</v>
      </c>
      <c r="F571" s="5">
        <v>23</v>
      </c>
      <c r="G571" t="str">
        <f>IF(Data[[#This Row],[Age]]&lt;25,"Under 25",IF(Data[[#This Row],[Age]]&lt;35,"25–34",IF(Data[[#This Row],[Age]]&lt;45,"35–44",IF(Data[[#This Row],[Age]]&lt;55,"45–54","55+"))))</f>
        <v>Under 25</v>
      </c>
      <c r="H571" t="s">
        <v>31</v>
      </c>
      <c r="I571" t="s">
        <v>18</v>
      </c>
      <c r="J571" t="s">
        <v>26</v>
      </c>
      <c r="K571" s="1">
        <v>40498</v>
      </c>
      <c r="M571" s="1" t="str">
        <f>IF(ISBLANK(Data[[#This Row],[EndDate]]),"Active","InActive")</f>
        <v>Active</v>
      </c>
      <c r="N571" t="s">
        <v>20</v>
      </c>
      <c r="O571" t="s">
        <v>21</v>
      </c>
      <c r="P571" t="s">
        <v>32</v>
      </c>
      <c r="Q571" s="2">
        <v>6129.5</v>
      </c>
    </row>
    <row r="572" spans="1:17" x14ac:dyDescent="0.2">
      <c r="A572" s="1">
        <v>43070</v>
      </c>
      <c r="B572">
        <v>28412</v>
      </c>
      <c r="C572" t="s">
        <v>79</v>
      </c>
      <c r="D572" t="s">
        <v>38</v>
      </c>
      <c r="E572" t="s">
        <v>61</v>
      </c>
      <c r="F572" s="5">
        <v>23</v>
      </c>
      <c r="G572" t="str">
        <f>IF(Data[[#This Row],[Age]]&lt;25,"Under 25",IF(Data[[#This Row],[Age]]&lt;35,"25–34",IF(Data[[#This Row],[Age]]&lt;45,"35–44",IF(Data[[#This Row],[Age]]&lt;55,"45–54","55+"))))</f>
        <v>Under 25</v>
      </c>
      <c r="H572" t="s">
        <v>59</v>
      </c>
      <c r="I572" t="s">
        <v>18</v>
      </c>
      <c r="J572" t="s">
        <v>26</v>
      </c>
      <c r="K572" s="1">
        <v>41522</v>
      </c>
      <c r="M572" s="1" t="str">
        <f>IF(ISBLANK(Data[[#This Row],[EndDate]]),"Active","InActive")</f>
        <v>Active</v>
      </c>
      <c r="N572" t="s">
        <v>20</v>
      </c>
      <c r="O572" t="s">
        <v>21</v>
      </c>
      <c r="P572" t="s">
        <v>32</v>
      </c>
      <c r="Q572" s="2">
        <v>2576</v>
      </c>
    </row>
    <row r="573" spans="1:17" x14ac:dyDescent="0.2">
      <c r="A573" s="1">
        <v>43070</v>
      </c>
      <c r="B573">
        <v>41058</v>
      </c>
      <c r="C573" t="s">
        <v>79</v>
      </c>
      <c r="D573" t="s">
        <v>47</v>
      </c>
      <c r="E573" t="s">
        <v>48</v>
      </c>
      <c r="F573" s="5">
        <v>23</v>
      </c>
      <c r="G573" t="str">
        <f>IF(Data[[#This Row],[Age]]&lt;25,"Under 25",IF(Data[[#This Row],[Age]]&lt;35,"25–34",IF(Data[[#This Row],[Age]]&lt;45,"35–44",IF(Data[[#This Row],[Age]]&lt;55,"45–54","55+"))))</f>
        <v>Under 25</v>
      </c>
      <c r="H573" t="s">
        <v>59</v>
      </c>
      <c r="I573" t="s">
        <v>18</v>
      </c>
      <c r="J573" t="s">
        <v>37</v>
      </c>
      <c r="K573" s="1">
        <v>40842</v>
      </c>
      <c r="M573" s="1" t="str">
        <f>IF(ISBLANK(Data[[#This Row],[EndDate]]),"Active","InActive")</f>
        <v>Active</v>
      </c>
      <c r="N573" t="s">
        <v>20</v>
      </c>
      <c r="O573" t="s">
        <v>21</v>
      </c>
      <c r="P573" t="s">
        <v>32</v>
      </c>
      <c r="Q573" s="2">
        <v>2829</v>
      </c>
    </row>
    <row r="574" spans="1:17" x14ac:dyDescent="0.2">
      <c r="A574" s="1">
        <v>43070</v>
      </c>
      <c r="B574">
        <v>42924</v>
      </c>
      <c r="C574" t="s">
        <v>79</v>
      </c>
      <c r="D574" t="s">
        <v>52</v>
      </c>
      <c r="E574" t="s">
        <v>69</v>
      </c>
      <c r="F574" s="5">
        <v>23</v>
      </c>
      <c r="G574" t="str">
        <f>IF(Data[[#This Row],[Age]]&lt;25,"Under 25",IF(Data[[#This Row],[Age]]&lt;35,"25–34",IF(Data[[#This Row],[Age]]&lt;45,"35–44",IF(Data[[#This Row],[Age]]&lt;55,"45–54","55+"))))</f>
        <v>Under 25</v>
      </c>
      <c r="H574" t="s">
        <v>34</v>
      </c>
      <c r="I574" t="s">
        <v>18</v>
      </c>
      <c r="J574" t="s">
        <v>35</v>
      </c>
      <c r="K574" s="1">
        <v>40717</v>
      </c>
      <c r="M574" s="1" t="str">
        <f>IF(ISBLANK(Data[[#This Row],[EndDate]]),"Active","InActive")</f>
        <v>Active</v>
      </c>
      <c r="N574" t="s">
        <v>20</v>
      </c>
      <c r="O574" t="s">
        <v>21</v>
      </c>
      <c r="P574" t="s">
        <v>32</v>
      </c>
      <c r="Q574" s="2">
        <v>9959</v>
      </c>
    </row>
    <row r="575" spans="1:17" x14ac:dyDescent="0.2">
      <c r="A575" s="1">
        <v>43070</v>
      </c>
      <c r="B575">
        <v>50472</v>
      </c>
      <c r="C575" t="s">
        <v>79</v>
      </c>
      <c r="D575" t="s">
        <v>29</v>
      </c>
      <c r="E575" t="s">
        <v>33</v>
      </c>
      <c r="F575" s="5">
        <v>23</v>
      </c>
      <c r="G575" t="str">
        <f>IF(Data[[#This Row],[Age]]&lt;25,"Under 25",IF(Data[[#This Row],[Age]]&lt;35,"25–34",IF(Data[[#This Row],[Age]]&lt;45,"35–44",IF(Data[[#This Row],[Age]]&lt;55,"45–54","55+"))))</f>
        <v>Under 25</v>
      </c>
      <c r="H575" t="s">
        <v>46</v>
      </c>
      <c r="I575" t="s">
        <v>18</v>
      </c>
      <c r="J575" t="s">
        <v>26</v>
      </c>
      <c r="K575" s="1">
        <v>40799</v>
      </c>
      <c r="M575" s="1" t="str">
        <f>IF(ISBLANK(Data[[#This Row],[EndDate]]),"Active","InActive")</f>
        <v>Active</v>
      </c>
      <c r="N575" t="s">
        <v>20</v>
      </c>
      <c r="O575" t="s">
        <v>21</v>
      </c>
      <c r="P575" t="s">
        <v>32</v>
      </c>
      <c r="Q575" s="2">
        <v>7153</v>
      </c>
    </row>
    <row r="576" spans="1:17" x14ac:dyDescent="0.2">
      <c r="A576" s="1">
        <v>43070</v>
      </c>
      <c r="B576">
        <v>51166</v>
      </c>
      <c r="C576" t="s">
        <v>79</v>
      </c>
      <c r="D576" t="s">
        <v>15</v>
      </c>
      <c r="E576" t="s">
        <v>70</v>
      </c>
      <c r="F576" s="5">
        <v>23</v>
      </c>
      <c r="G576" t="str">
        <f>IF(Data[[#This Row],[Age]]&lt;25,"Under 25",IF(Data[[#This Row],[Age]]&lt;35,"25–34",IF(Data[[#This Row],[Age]]&lt;45,"35–44",IF(Data[[#This Row],[Age]]&lt;55,"45–54","55+"))))</f>
        <v>Under 25</v>
      </c>
      <c r="H576" t="s">
        <v>34</v>
      </c>
      <c r="I576" t="s">
        <v>18</v>
      </c>
      <c r="J576" t="s">
        <v>35</v>
      </c>
      <c r="K576" s="1">
        <v>41404</v>
      </c>
      <c r="M576" s="1" t="str">
        <f>IF(ISBLANK(Data[[#This Row],[EndDate]]),"Active","InActive")</f>
        <v>Active</v>
      </c>
      <c r="N576" t="s">
        <v>20</v>
      </c>
      <c r="O576" t="s">
        <v>21</v>
      </c>
      <c r="P576" t="s">
        <v>32</v>
      </c>
      <c r="Q576" s="2">
        <v>6704.5</v>
      </c>
    </row>
    <row r="577" spans="1:17" x14ac:dyDescent="0.2">
      <c r="A577" s="1">
        <v>43070</v>
      </c>
      <c r="B577">
        <v>53874</v>
      </c>
      <c r="C577" t="s">
        <v>79</v>
      </c>
      <c r="D577" t="s">
        <v>23</v>
      </c>
      <c r="E577" t="s">
        <v>24</v>
      </c>
      <c r="F577" s="5">
        <v>23</v>
      </c>
      <c r="G577" t="str">
        <f>IF(Data[[#This Row],[Age]]&lt;25,"Under 25",IF(Data[[#This Row],[Age]]&lt;35,"25–34",IF(Data[[#This Row],[Age]]&lt;45,"35–44",IF(Data[[#This Row],[Age]]&lt;55,"45–54","55+"))))</f>
        <v>Under 25</v>
      </c>
      <c r="H577" t="s">
        <v>31</v>
      </c>
      <c r="I577" t="s">
        <v>18</v>
      </c>
      <c r="J577" t="s">
        <v>26</v>
      </c>
      <c r="K577" s="1">
        <v>41579</v>
      </c>
      <c r="M577" s="1" t="str">
        <f>IF(ISBLANK(Data[[#This Row],[EndDate]]),"Active","InActive")</f>
        <v>Active</v>
      </c>
      <c r="N577" t="s">
        <v>20</v>
      </c>
      <c r="O577" t="s">
        <v>21</v>
      </c>
      <c r="P577" t="s">
        <v>32</v>
      </c>
      <c r="Q577" s="2">
        <v>4197.5</v>
      </c>
    </row>
    <row r="578" spans="1:17" x14ac:dyDescent="0.2">
      <c r="A578" s="1">
        <v>43070</v>
      </c>
      <c r="B578">
        <v>55776</v>
      </c>
      <c r="C578" t="s">
        <v>79</v>
      </c>
      <c r="D578" t="s">
        <v>23</v>
      </c>
      <c r="E578" t="s">
        <v>71</v>
      </c>
      <c r="F578" s="5">
        <v>23</v>
      </c>
      <c r="G578" t="str">
        <f>IF(Data[[#This Row],[Age]]&lt;25,"Under 25",IF(Data[[#This Row],[Age]]&lt;35,"25–34",IF(Data[[#This Row],[Age]]&lt;45,"35–44",IF(Data[[#This Row],[Age]]&lt;55,"45–54","55+"))))</f>
        <v>Under 25</v>
      </c>
      <c r="H578" t="s">
        <v>34</v>
      </c>
      <c r="I578" t="s">
        <v>18</v>
      </c>
      <c r="J578" t="s">
        <v>35</v>
      </c>
      <c r="K578" s="1">
        <v>40940</v>
      </c>
      <c r="M578" s="1" t="str">
        <f>IF(ISBLANK(Data[[#This Row],[EndDate]]),"Active","InActive")</f>
        <v>Active</v>
      </c>
      <c r="N578" t="s">
        <v>20</v>
      </c>
      <c r="O578" t="s">
        <v>21</v>
      </c>
      <c r="P578" t="s">
        <v>32</v>
      </c>
      <c r="Q578" s="2">
        <v>5692.5</v>
      </c>
    </row>
    <row r="579" spans="1:17" x14ac:dyDescent="0.2">
      <c r="A579" s="1">
        <v>43435</v>
      </c>
      <c r="B579">
        <v>43142</v>
      </c>
      <c r="C579" t="s">
        <v>79</v>
      </c>
      <c r="D579" t="s">
        <v>38</v>
      </c>
      <c r="E579" t="s">
        <v>45</v>
      </c>
      <c r="F579" s="5">
        <v>23</v>
      </c>
      <c r="G579" t="str">
        <f>IF(Data[[#This Row],[Age]]&lt;25,"Under 25",IF(Data[[#This Row],[Age]]&lt;35,"25–34",IF(Data[[#This Row],[Age]]&lt;45,"35–44",IF(Data[[#This Row],[Age]]&lt;55,"45–54","55+"))))</f>
        <v>Under 25</v>
      </c>
      <c r="H579" t="s">
        <v>49</v>
      </c>
      <c r="I579" t="s">
        <v>18</v>
      </c>
      <c r="J579" t="s">
        <v>35</v>
      </c>
      <c r="K579" s="1">
        <v>41823</v>
      </c>
      <c r="M579" s="1" t="str">
        <f>IF(ISBLANK(Data[[#This Row],[EndDate]]),"Active","InActive")</f>
        <v>Active</v>
      </c>
      <c r="N579" t="s">
        <v>20</v>
      </c>
      <c r="O579" t="s">
        <v>21</v>
      </c>
      <c r="P579" t="s">
        <v>40</v>
      </c>
      <c r="Q579" s="2">
        <v>4071</v>
      </c>
    </row>
    <row r="580" spans="1:17" x14ac:dyDescent="0.2">
      <c r="A580" s="1">
        <v>43435</v>
      </c>
      <c r="B580">
        <v>44032</v>
      </c>
      <c r="C580" t="s">
        <v>79</v>
      </c>
      <c r="D580" t="s">
        <v>29</v>
      </c>
      <c r="E580" t="s">
        <v>30</v>
      </c>
      <c r="F580" s="5">
        <v>23</v>
      </c>
      <c r="G580" t="str">
        <f>IF(Data[[#This Row],[Age]]&lt;25,"Under 25",IF(Data[[#This Row],[Age]]&lt;35,"25–34",IF(Data[[#This Row],[Age]]&lt;45,"35–44",IF(Data[[#This Row],[Age]]&lt;55,"45–54","55+"))))</f>
        <v>Under 25</v>
      </c>
      <c r="H580" t="s">
        <v>49</v>
      </c>
      <c r="I580" t="s">
        <v>18</v>
      </c>
      <c r="J580" t="s">
        <v>37</v>
      </c>
      <c r="K580" s="1">
        <v>41575</v>
      </c>
      <c r="M580" s="1" t="str">
        <f>IF(ISBLANK(Data[[#This Row],[EndDate]]),"Active","InActive")</f>
        <v>Active</v>
      </c>
      <c r="N580" t="s">
        <v>20</v>
      </c>
      <c r="O580" t="s">
        <v>21</v>
      </c>
      <c r="P580" t="s">
        <v>40</v>
      </c>
      <c r="Q580" s="2">
        <v>6290.5</v>
      </c>
    </row>
    <row r="581" spans="1:17" x14ac:dyDescent="0.2">
      <c r="A581" s="1">
        <v>43435</v>
      </c>
      <c r="B581">
        <v>49932</v>
      </c>
      <c r="C581" t="s">
        <v>79</v>
      </c>
      <c r="D581" t="s">
        <v>50</v>
      </c>
      <c r="E581" t="s">
        <v>63</v>
      </c>
      <c r="F581" s="5">
        <v>23</v>
      </c>
      <c r="G581" t="str">
        <f>IF(Data[[#This Row],[Age]]&lt;25,"Under 25",IF(Data[[#This Row],[Age]]&lt;35,"25–34",IF(Data[[#This Row],[Age]]&lt;45,"35–44",IF(Data[[#This Row],[Age]]&lt;55,"45–54","55+"))))</f>
        <v>Under 25</v>
      </c>
      <c r="H581" t="s">
        <v>34</v>
      </c>
      <c r="I581" t="s">
        <v>18</v>
      </c>
      <c r="J581" t="s">
        <v>35</v>
      </c>
      <c r="K581" s="1">
        <v>41565</v>
      </c>
      <c r="M581" s="1" t="str">
        <f>IF(ISBLANK(Data[[#This Row],[EndDate]]),"Active","InActive")</f>
        <v>Active</v>
      </c>
      <c r="N581" t="s">
        <v>20</v>
      </c>
      <c r="O581" t="s">
        <v>21</v>
      </c>
      <c r="P581" t="s">
        <v>40</v>
      </c>
      <c r="Q581" s="2">
        <v>9683</v>
      </c>
    </row>
    <row r="582" spans="1:17" x14ac:dyDescent="0.2">
      <c r="A582" s="1">
        <v>43435</v>
      </c>
      <c r="B582">
        <v>50384</v>
      </c>
      <c r="C582" t="s">
        <v>79</v>
      </c>
      <c r="D582" t="s">
        <v>52</v>
      </c>
      <c r="E582" t="s">
        <v>69</v>
      </c>
      <c r="F582" s="5">
        <v>23</v>
      </c>
      <c r="G582" t="str">
        <f>IF(Data[[#This Row],[Age]]&lt;25,"Under 25",IF(Data[[#This Row],[Age]]&lt;35,"25–34",IF(Data[[#This Row],[Age]]&lt;45,"35–44",IF(Data[[#This Row],[Age]]&lt;55,"45–54","55+"))))</f>
        <v>Under 25</v>
      </c>
      <c r="H582" t="s">
        <v>49</v>
      </c>
      <c r="I582" t="s">
        <v>18</v>
      </c>
      <c r="J582" t="s">
        <v>37</v>
      </c>
      <c r="K582" s="1">
        <v>40799</v>
      </c>
      <c r="M582" s="1" t="str">
        <f>IF(ISBLANK(Data[[#This Row],[EndDate]]),"Active","InActive")</f>
        <v>Active</v>
      </c>
      <c r="N582" t="s">
        <v>20</v>
      </c>
      <c r="O582" t="s">
        <v>21</v>
      </c>
      <c r="P582" t="s">
        <v>40</v>
      </c>
      <c r="Q582" s="2">
        <v>5945.5</v>
      </c>
    </row>
    <row r="583" spans="1:17" x14ac:dyDescent="0.2">
      <c r="A583" s="1">
        <v>43435</v>
      </c>
      <c r="B583">
        <v>50418</v>
      </c>
      <c r="C583" t="s">
        <v>79</v>
      </c>
      <c r="D583" t="s">
        <v>27</v>
      </c>
      <c r="E583" t="s">
        <v>28</v>
      </c>
      <c r="F583" s="5">
        <v>23</v>
      </c>
      <c r="G583" t="str">
        <f>IF(Data[[#This Row],[Age]]&lt;25,"Under 25",IF(Data[[#This Row],[Age]]&lt;35,"25–34",IF(Data[[#This Row],[Age]]&lt;45,"35–44",IF(Data[[#This Row],[Age]]&lt;55,"45–54","55+"))))</f>
        <v>Under 25</v>
      </c>
      <c r="H583" t="s">
        <v>17</v>
      </c>
      <c r="I583" t="s">
        <v>18</v>
      </c>
      <c r="J583" t="s">
        <v>37</v>
      </c>
      <c r="K583" s="1">
        <v>41814</v>
      </c>
      <c r="M583" s="1" t="str">
        <f>IF(ISBLANK(Data[[#This Row],[EndDate]]),"Active","InActive")</f>
        <v>Active</v>
      </c>
      <c r="N583" t="s">
        <v>20</v>
      </c>
      <c r="O583" t="s">
        <v>21</v>
      </c>
      <c r="P583" t="s">
        <v>40</v>
      </c>
      <c r="Q583" s="2">
        <v>9648.5</v>
      </c>
    </row>
    <row r="584" spans="1:17" x14ac:dyDescent="0.2">
      <c r="A584" s="1">
        <v>43435</v>
      </c>
      <c r="B584">
        <v>51340</v>
      </c>
      <c r="C584" t="s">
        <v>79</v>
      </c>
      <c r="D584" t="s">
        <v>23</v>
      </c>
      <c r="E584" t="s">
        <v>71</v>
      </c>
      <c r="F584" s="5">
        <v>23</v>
      </c>
      <c r="G584" t="str">
        <f>IF(Data[[#This Row],[Age]]&lt;25,"Under 25",IF(Data[[#This Row],[Age]]&lt;35,"25–34",IF(Data[[#This Row],[Age]]&lt;45,"35–44",IF(Data[[#This Row],[Age]]&lt;55,"45–54","55+"))))</f>
        <v>Under 25</v>
      </c>
      <c r="H584" t="s">
        <v>17</v>
      </c>
      <c r="I584" t="s">
        <v>18</v>
      </c>
      <c r="J584" t="s">
        <v>37</v>
      </c>
      <c r="K584" s="1">
        <v>41431</v>
      </c>
      <c r="M584" s="1" t="str">
        <f>IF(ISBLANK(Data[[#This Row],[EndDate]]),"Active","InActive")</f>
        <v>Active</v>
      </c>
      <c r="N584" t="s">
        <v>20</v>
      </c>
      <c r="O584" t="s">
        <v>21</v>
      </c>
      <c r="P584" t="s">
        <v>40</v>
      </c>
      <c r="Q584" s="2">
        <v>2208</v>
      </c>
    </row>
    <row r="585" spans="1:17" x14ac:dyDescent="0.2">
      <c r="A585" s="1">
        <v>43435</v>
      </c>
      <c r="B585">
        <v>51800</v>
      </c>
      <c r="C585" t="s">
        <v>79</v>
      </c>
      <c r="D585" t="s">
        <v>52</v>
      </c>
      <c r="E585" t="s">
        <v>69</v>
      </c>
      <c r="F585" s="5">
        <v>23</v>
      </c>
      <c r="G585" t="str">
        <f>IF(Data[[#This Row],[Age]]&lt;25,"Under 25",IF(Data[[#This Row],[Age]]&lt;35,"25–34",IF(Data[[#This Row],[Age]]&lt;45,"35–44",IF(Data[[#This Row],[Age]]&lt;55,"45–54","55+"))))</f>
        <v>Under 25</v>
      </c>
      <c r="H585" t="s">
        <v>17</v>
      </c>
      <c r="I585" t="s">
        <v>18</v>
      </c>
      <c r="J585" t="s">
        <v>26</v>
      </c>
      <c r="K585" s="1">
        <v>41928</v>
      </c>
      <c r="M585" s="1" t="str">
        <f>IF(ISBLANK(Data[[#This Row],[EndDate]]),"Active","InActive")</f>
        <v>Active</v>
      </c>
      <c r="N585" t="s">
        <v>20</v>
      </c>
      <c r="O585" t="s">
        <v>21</v>
      </c>
      <c r="P585" t="s">
        <v>40</v>
      </c>
      <c r="Q585" s="2">
        <v>10200.5</v>
      </c>
    </row>
    <row r="586" spans="1:17" x14ac:dyDescent="0.2">
      <c r="A586" s="1">
        <v>43435</v>
      </c>
      <c r="B586">
        <v>51964</v>
      </c>
      <c r="C586" t="s">
        <v>79</v>
      </c>
      <c r="D586" t="s">
        <v>52</v>
      </c>
      <c r="E586" t="s">
        <v>69</v>
      </c>
      <c r="F586" s="5">
        <v>23</v>
      </c>
      <c r="G586" t="str">
        <f>IF(Data[[#This Row],[Age]]&lt;25,"Under 25",IF(Data[[#This Row],[Age]]&lt;35,"25–34",IF(Data[[#This Row],[Age]]&lt;45,"35–44",IF(Data[[#This Row],[Age]]&lt;55,"45–54","55+"))))</f>
        <v>Under 25</v>
      </c>
      <c r="H586" t="s">
        <v>49</v>
      </c>
      <c r="I586" t="s">
        <v>18</v>
      </c>
      <c r="J586" t="s">
        <v>37</v>
      </c>
      <c r="K586" s="1">
        <v>41794</v>
      </c>
      <c r="M586" s="1" t="str">
        <f>IF(ISBLANK(Data[[#This Row],[EndDate]]),"Active","InActive")</f>
        <v>Active</v>
      </c>
      <c r="N586" t="s">
        <v>20</v>
      </c>
      <c r="O586" t="s">
        <v>21</v>
      </c>
      <c r="P586" t="s">
        <v>40</v>
      </c>
      <c r="Q586" s="2">
        <v>10154.5</v>
      </c>
    </row>
    <row r="587" spans="1:17" x14ac:dyDescent="0.2">
      <c r="A587" s="1">
        <v>43435</v>
      </c>
      <c r="B587">
        <v>53988</v>
      </c>
      <c r="C587" t="s">
        <v>79</v>
      </c>
      <c r="D587" t="s">
        <v>23</v>
      </c>
      <c r="E587" t="s">
        <v>24</v>
      </c>
      <c r="F587" s="5">
        <v>23</v>
      </c>
      <c r="G587" t="str">
        <f>IF(Data[[#This Row],[Age]]&lt;25,"Under 25",IF(Data[[#This Row],[Age]]&lt;35,"25–34",IF(Data[[#This Row],[Age]]&lt;45,"35–44",IF(Data[[#This Row],[Age]]&lt;55,"45–54","55+"))))</f>
        <v>Under 25</v>
      </c>
      <c r="H587" t="s">
        <v>31</v>
      </c>
      <c r="I587" t="s">
        <v>18</v>
      </c>
      <c r="J587" t="s">
        <v>26</v>
      </c>
      <c r="K587" s="1">
        <v>40934</v>
      </c>
      <c r="M587" s="1" t="str">
        <f>IF(ISBLANK(Data[[#This Row],[EndDate]]),"Active","InActive")</f>
        <v>Active</v>
      </c>
      <c r="N587" t="s">
        <v>20</v>
      </c>
      <c r="O587" t="s">
        <v>21</v>
      </c>
      <c r="P587" t="s">
        <v>40</v>
      </c>
      <c r="Q587" s="2">
        <v>10821.5</v>
      </c>
    </row>
    <row r="588" spans="1:17" x14ac:dyDescent="0.2">
      <c r="A588" s="1">
        <v>43435</v>
      </c>
      <c r="B588">
        <v>54528</v>
      </c>
      <c r="C588" t="s">
        <v>79</v>
      </c>
      <c r="D588" t="s">
        <v>41</v>
      </c>
      <c r="E588" t="s">
        <v>68</v>
      </c>
      <c r="F588" s="5">
        <v>23</v>
      </c>
      <c r="G588" t="str">
        <f>IF(Data[[#This Row],[Age]]&lt;25,"Under 25",IF(Data[[#This Row],[Age]]&lt;35,"25–34",IF(Data[[#This Row],[Age]]&lt;45,"35–44",IF(Data[[#This Row],[Age]]&lt;55,"45–54","55+"))))</f>
        <v>Under 25</v>
      </c>
      <c r="H588" t="s">
        <v>46</v>
      </c>
      <c r="I588" t="s">
        <v>18</v>
      </c>
      <c r="J588" t="s">
        <v>37</v>
      </c>
      <c r="K588" s="1">
        <v>40892</v>
      </c>
      <c r="M588" s="1" t="str">
        <f>IF(ISBLANK(Data[[#This Row],[EndDate]]),"Active","InActive")</f>
        <v>Active</v>
      </c>
      <c r="N588" t="s">
        <v>20</v>
      </c>
      <c r="O588" t="s">
        <v>21</v>
      </c>
      <c r="P588" t="s">
        <v>40</v>
      </c>
      <c r="Q588" s="2">
        <v>7210.5</v>
      </c>
    </row>
    <row r="589" spans="1:17" x14ac:dyDescent="0.2">
      <c r="A589" s="1">
        <v>43435</v>
      </c>
      <c r="B589">
        <v>95686</v>
      </c>
      <c r="C589" t="s">
        <v>79</v>
      </c>
      <c r="D589" t="s">
        <v>52</v>
      </c>
      <c r="E589" t="s">
        <v>53</v>
      </c>
      <c r="F589" s="5">
        <v>23</v>
      </c>
      <c r="G589" t="str">
        <f>IF(Data[[#This Row],[Age]]&lt;25,"Under 25",IF(Data[[#This Row],[Age]]&lt;35,"25–34",IF(Data[[#This Row],[Age]]&lt;45,"35–44",IF(Data[[#This Row],[Age]]&lt;55,"45–54","55+"))))</f>
        <v>Under 25</v>
      </c>
      <c r="H589" t="s">
        <v>17</v>
      </c>
      <c r="I589" t="s">
        <v>18</v>
      </c>
      <c r="J589" t="s">
        <v>19</v>
      </c>
      <c r="K589" s="1">
        <v>41870</v>
      </c>
      <c r="L589" s="1">
        <v>41990</v>
      </c>
      <c r="M589" s="1" t="str">
        <f>IF(ISBLANK(Data[[#This Row],[EndDate]]),"Active","InActive")</f>
        <v>InActive</v>
      </c>
      <c r="N589" t="s">
        <v>20</v>
      </c>
      <c r="O589" t="s">
        <v>21</v>
      </c>
      <c r="P589" t="s">
        <v>40</v>
      </c>
      <c r="Q589" s="2">
        <v>7843</v>
      </c>
    </row>
    <row r="590" spans="1:17" x14ac:dyDescent="0.2">
      <c r="A590" s="1">
        <v>43070</v>
      </c>
      <c r="B590">
        <v>29274</v>
      </c>
      <c r="C590" t="s">
        <v>79</v>
      </c>
      <c r="D590" t="s">
        <v>27</v>
      </c>
      <c r="E590" t="s">
        <v>72</v>
      </c>
      <c r="F590" s="5">
        <v>23</v>
      </c>
      <c r="G590" t="str">
        <f>IF(Data[[#This Row],[Age]]&lt;25,"Under 25",IF(Data[[#This Row],[Age]]&lt;35,"25–34",IF(Data[[#This Row],[Age]]&lt;45,"35–44",IF(Data[[#This Row],[Age]]&lt;55,"45–54","55+"))))</f>
        <v>Under 25</v>
      </c>
      <c r="H590" t="s">
        <v>25</v>
      </c>
      <c r="I590" t="s">
        <v>18</v>
      </c>
      <c r="J590" t="s">
        <v>35</v>
      </c>
      <c r="K590" s="1">
        <v>41410</v>
      </c>
      <c r="M590" s="1" t="str">
        <f>IF(ISBLANK(Data[[#This Row],[EndDate]]),"Active","InActive")</f>
        <v>Active</v>
      </c>
      <c r="N590" t="s">
        <v>20</v>
      </c>
      <c r="O590" t="s">
        <v>21</v>
      </c>
      <c r="P590" t="s">
        <v>32</v>
      </c>
      <c r="Q590" s="2">
        <v>3542</v>
      </c>
    </row>
    <row r="591" spans="1:17" x14ac:dyDescent="0.2">
      <c r="A591" s="1">
        <v>43070</v>
      </c>
      <c r="B591">
        <v>42804</v>
      </c>
      <c r="C591" t="s">
        <v>79</v>
      </c>
      <c r="D591" t="s">
        <v>47</v>
      </c>
      <c r="E591" t="s">
        <v>48</v>
      </c>
      <c r="F591" s="5">
        <v>23</v>
      </c>
      <c r="G591" t="str">
        <f>IF(Data[[#This Row],[Age]]&lt;25,"Under 25",IF(Data[[#This Row],[Age]]&lt;35,"25–34",IF(Data[[#This Row],[Age]]&lt;45,"35–44",IF(Data[[#This Row],[Age]]&lt;55,"45–54","55+"))))</f>
        <v>Under 25</v>
      </c>
      <c r="H591" t="s">
        <v>25</v>
      </c>
      <c r="I591" t="s">
        <v>18</v>
      </c>
      <c r="J591" t="s">
        <v>35</v>
      </c>
      <c r="K591" s="1">
        <v>41159</v>
      </c>
      <c r="M591" s="1" t="str">
        <f>IF(ISBLANK(Data[[#This Row],[EndDate]]),"Active","InActive")</f>
        <v>Active</v>
      </c>
      <c r="N591" t="s">
        <v>20</v>
      </c>
      <c r="O591" t="s">
        <v>21</v>
      </c>
      <c r="P591" t="s">
        <v>32</v>
      </c>
      <c r="Q591" s="2">
        <v>7728</v>
      </c>
    </row>
    <row r="592" spans="1:17" x14ac:dyDescent="0.2">
      <c r="A592" s="1">
        <v>43435</v>
      </c>
      <c r="B592">
        <v>41082</v>
      </c>
      <c r="C592" t="s">
        <v>79</v>
      </c>
      <c r="D592" t="s">
        <v>23</v>
      </c>
      <c r="E592" t="s">
        <v>71</v>
      </c>
      <c r="F592" s="5">
        <v>23</v>
      </c>
      <c r="G592" t="str">
        <f>IF(Data[[#This Row],[Age]]&lt;25,"Under 25",IF(Data[[#This Row],[Age]]&lt;35,"25–34",IF(Data[[#This Row],[Age]]&lt;45,"35–44",IF(Data[[#This Row],[Age]]&lt;55,"45–54","55+"))))</f>
        <v>Under 25</v>
      </c>
      <c r="H592" t="s">
        <v>25</v>
      </c>
      <c r="I592" t="s">
        <v>18</v>
      </c>
      <c r="J592" t="s">
        <v>37</v>
      </c>
      <c r="K592" s="1">
        <v>40227</v>
      </c>
      <c r="M592" s="1" t="str">
        <f>IF(ISBLANK(Data[[#This Row],[EndDate]]),"Active","InActive")</f>
        <v>Active</v>
      </c>
      <c r="N592" t="s">
        <v>20</v>
      </c>
      <c r="O592" t="s">
        <v>21</v>
      </c>
      <c r="P592" t="s">
        <v>40</v>
      </c>
      <c r="Q592" s="2">
        <v>3289</v>
      </c>
    </row>
    <row r="593" spans="1:17" x14ac:dyDescent="0.2">
      <c r="A593" s="1">
        <v>43435</v>
      </c>
      <c r="B593">
        <v>49908</v>
      </c>
      <c r="C593" t="s">
        <v>79</v>
      </c>
      <c r="D593" t="s">
        <v>41</v>
      </c>
      <c r="E593" t="s">
        <v>42</v>
      </c>
      <c r="F593" s="5">
        <v>23</v>
      </c>
      <c r="G593" t="str">
        <f>IF(Data[[#This Row],[Age]]&lt;25,"Under 25",IF(Data[[#This Row],[Age]]&lt;35,"25–34",IF(Data[[#This Row],[Age]]&lt;45,"35–44",IF(Data[[#This Row],[Age]]&lt;55,"45–54","55+"))))</f>
        <v>Under 25</v>
      </c>
      <c r="H593" t="s">
        <v>25</v>
      </c>
      <c r="I593" t="s">
        <v>18</v>
      </c>
      <c r="J593" t="s">
        <v>35</v>
      </c>
      <c r="K593" s="1">
        <v>41614</v>
      </c>
      <c r="M593" s="1" t="str">
        <f>IF(ISBLANK(Data[[#This Row],[EndDate]]),"Active","InActive")</f>
        <v>Active</v>
      </c>
      <c r="N593" t="s">
        <v>20</v>
      </c>
      <c r="O593" t="s">
        <v>21</v>
      </c>
      <c r="P593" t="s">
        <v>40</v>
      </c>
      <c r="Q593" s="2">
        <v>1587</v>
      </c>
    </row>
    <row r="594" spans="1:17" x14ac:dyDescent="0.2">
      <c r="A594" s="1">
        <v>43435</v>
      </c>
      <c r="B594">
        <v>54894</v>
      </c>
      <c r="C594" t="s">
        <v>79</v>
      </c>
      <c r="D594" t="s">
        <v>43</v>
      </c>
      <c r="E594" t="s">
        <v>44</v>
      </c>
      <c r="F594" s="5">
        <v>23</v>
      </c>
      <c r="G594" t="str">
        <f>IF(Data[[#This Row],[Age]]&lt;25,"Under 25",IF(Data[[#This Row],[Age]]&lt;35,"25–34",IF(Data[[#This Row],[Age]]&lt;45,"35–44",IF(Data[[#This Row],[Age]]&lt;55,"45–54","55+"))))</f>
        <v>Under 25</v>
      </c>
      <c r="H594" t="s">
        <v>25</v>
      </c>
      <c r="I594" t="s">
        <v>18</v>
      </c>
      <c r="J594" t="s">
        <v>26</v>
      </c>
      <c r="K594" s="1">
        <v>41390</v>
      </c>
      <c r="M594" s="1" t="str">
        <f>IF(ISBLANK(Data[[#This Row],[EndDate]]),"Active","InActive")</f>
        <v>Active</v>
      </c>
      <c r="N594" t="s">
        <v>20</v>
      </c>
      <c r="O594" t="s">
        <v>21</v>
      </c>
      <c r="P594" t="s">
        <v>40</v>
      </c>
      <c r="Q594" s="2">
        <v>2553</v>
      </c>
    </row>
    <row r="595" spans="1:17" x14ac:dyDescent="0.2">
      <c r="A595" s="1">
        <v>43435</v>
      </c>
      <c r="B595">
        <v>54906</v>
      </c>
      <c r="C595" t="s">
        <v>79</v>
      </c>
      <c r="D595" t="s">
        <v>52</v>
      </c>
      <c r="E595" t="s">
        <v>53</v>
      </c>
      <c r="F595" s="5">
        <v>23</v>
      </c>
      <c r="G595" t="str">
        <f>IF(Data[[#This Row],[Age]]&lt;25,"Under 25",IF(Data[[#This Row],[Age]]&lt;35,"25–34",IF(Data[[#This Row],[Age]]&lt;45,"35–44",IF(Data[[#This Row],[Age]]&lt;55,"45–54","55+"))))</f>
        <v>Under 25</v>
      </c>
      <c r="H595" t="s">
        <v>25</v>
      </c>
      <c r="I595" t="s">
        <v>18</v>
      </c>
      <c r="J595" t="s">
        <v>37</v>
      </c>
      <c r="K595" s="1">
        <v>40983</v>
      </c>
      <c r="M595" s="1" t="str">
        <f>IF(ISBLANK(Data[[#This Row],[EndDate]]),"Active","InActive")</f>
        <v>Active</v>
      </c>
      <c r="N595" t="s">
        <v>20</v>
      </c>
      <c r="O595" t="s">
        <v>21</v>
      </c>
      <c r="P595" t="s">
        <v>40</v>
      </c>
      <c r="Q595" s="2">
        <v>5646.5</v>
      </c>
    </row>
    <row r="596" spans="1:17" x14ac:dyDescent="0.2">
      <c r="A596" s="1">
        <v>42705</v>
      </c>
      <c r="B596">
        <v>40436</v>
      </c>
      <c r="C596" t="s">
        <v>79</v>
      </c>
      <c r="D596" t="s">
        <v>47</v>
      </c>
      <c r="E596" t="s">
        <v>73</v>
      </c>
      <c r="F596" s="5">
        <v>23</v>
      </c>
      <c r="G596" t="str">
        <f>IF(Data[[#This Row],[Age]]&lt;25,"Under 25",IF(Data[[#This Row],[Age]]&lt;35,"25–34",IF(Data[[#This Row],[Age]]&lt;45,"35–44",IF(Data[[#This Row],[Age]]&lt;55,"45–54","55+"))))</f>
        <v>Under 25</v>
      </c>
      <c r="H596" t="s">
        <v>59</v>
      </c>
      <c r="I596" t="s">
        <v>18</v>
      </c>
      <c r="J596" t="s">
        <v>37</v>
      </c>
      <c r="K596" s="1">
        <v>39254</v>
      </c>
      <c r="M596" s="1" t="str">
        <f>IF(ISBLANK(Data[[#This Row],[EndDate]]),"Active","InActive")</f>
        <v>Active</v>
      </c>
      <c r="N596" t="s">
        <v>20</v>
      </c>
      <c r="O596" t="s">
        <v>21</v>
      </c>
      <c r="P596" t="s">
        <v>22</v>
      </c>
      <c r="Q596" s="2">
        <v>4830</v>
      </c>
    </row>
    <row r="597" spans="1:17" x14ac:dyDescent="0.2">
      <c r="A597" s="1">
        <v>42705</v>
      </c>
      <c r="B597">
        <v>43610</v>
      </c>
      <c r="C597" t="s">
        <v>80</v>
      </c>
      <c r="D597" t="s">
        <v>38</v>
      </c>
      <c r="E597" t="s">
        <v>39</v>
      </c>
      <c r="F597" s="5">
        <v>23</v>
      </c>
      <c r="G597" t="str">
        <f>IF(Data[[#This Row],[Age]]&lt;25,"Under 25",IF(Data[[#This Row],[Age]]&lt;35,"25–34",IF(Data[[#This Row],[Age]]&lt;45,"35–44",IF(Data[[#This Row],[Age]]&lt;55,"45–54","55+"))))</f>
        <v>Under 25</v>
      </c>
      <c r="H597" t="s">
        <v>59</v>
      </c>
      <c r="I597" t="s">
        <v>18</v>
      </c>
      <c r="J597" t="s">
        <v>37</v>
      </c>
      <c r="K597" s="1">
        <v>39161</v>
      </c>
      <c r="M597" s="1" t="str">
        <f>IF(ISBLANK(Data[[#This Row],[EndDate]]),"Active","InActive")</f>
        <v>Active</v>
      </c>
      <c r="N597" t="s">
        <v>20</v>
      </c>
      <c r="O597" t="s">
        <v>21</v>
      </c>
      <c r="P597" t="s">
        <v>22</v>
      </c>
      <c r="Q597" s="2">
        <v>8222.5</v>
      </c>
    </row>
    <row r="598" spans="1:17" x14ac:dyDescent="0.2">
      <c r="A598" s="1">
        <v>42705</v>
      </c>
      <c r="B598">
        <v>52972</v>
      </c>
      <c r="C598" t="s">
        <v>79</v>
      </c>
      <c r="D598" t="s">
        <v>23</v>
      </c>
      <c r="E598" t="s">
        <v>24</v>
      </c>
      <c r="F598" s="5">
        <v>23</v>
      </c>
      <c r="G598" t="str">
        <f>IF(Data[[#This Row],[Age]]&lt;25,"Under 25",IF(Data[[#This Row],[Age]]&lt;35,"25–34",IF(Data[[#This Row],[Age]]&lt;45,"35–44",IF(Data[[#This Row],[Age]]&lt;55,"45–54","55+"))))</f>
        <v>Under 25</v>
      </c>
      <c r="H598" t="s">
        <v>59</v>
      </c>
      <c r="I598" t="s">
        <v>18</v>
      </c>
      <c r="J598" t="s">
        <v>37</v>
      </c>
      <c r="K598" s="1">
        <v>39364</v>
      </c>
      <c r="M598" s="1" t="str">
        <f>IF(ISBLANK(Data[[#This Row],[EndDate]]),"Active","InActive")</f>
        <v>Active</v>
      </c>
      <c r="N598" t="s">
        <v>20</v>
      </c>
      <c r="O598" t="s">
        <v>21</v>
      </c>
      <c r="P598" t="s">
        <v>22</v>
      </c>
      <c r="Q598" s="2">
        <v>1288</v>
      </c>
    </row>
    <row r="599" spans="1:17" x14ac:dyDescent="0.2">
      <c r="A599" s="1">
        <v>43435</v>
      </c>
      <c r="B599">
        <v>43396</v>
      </c>
      <c r="C599" t="s">
        <v>79</v>
      </c>
      <c r="D599" t="s">
        <v>15</v>
      </c>
      <c r="E599" t="s">
        <v>70</v>
      </c>
      <c r="F599" s="5">
        <v>23</v>
      </c>
      <c r="G599" t="str">
        <f>IF(Data[[#This Row],[Age]]&lt;25,"Under 25",IF(Data[[#This Row],[Age]]&lt;35,"25–34",IF(Data[[#This Row],[Age]]&lt;45,"35–44",IF(Data[[#This Row],[Age]]&lt;55,"45–54","55+"))))</f>
        <v>Under 25</v>
      </c>
      <c r="H599" t="s">
        <v>59</v>
      </c>
      <c r="I599" t="s">
        <v>18</v>
      </c>
      <c r="J599" t="s">
        <v>37</v>
      </c>
      <c r="K599" s="1">
        <v>41782</v>
      </c>
      <c r="M599" s="1" t="str">
        <f>IF(ISBLANK(Data[[#This Row],[EndDate]]),"Active","InActive")</f>
        <v>Active</v>
      </c>
      <c r="N599" t="s">
        <v>20</v>
      </c>
      <c r="O599" t="s">
        <v>21</v>
      </c>
      <c r="P599" t="s">
        <v>40</v>
      </c>
      <c r="Q599" s="2">
        <v>9395.5</v>
      </c>
    </row>
    <row r="600" spans="1:17" x14ac:dyDescent="0.2">
      <c r="A600" s="1">
        <v>43435</v>
      </c>
      <c r="B600">
        <v>43398</v>
      </c>
      <c r="C600" t="s">
        <v>80</v>
      </c>
      <c r="D600" t="s">
        <v>43</v>
      </c>
      <c r="E600" t="s">
        <v>44</v>
      </c>
      <c r="F600" s="5">
        <v>23</v>
      </c>
      <c r="G600" t="str">
        <f>IF(Data[[#This Row],[Age]]&lt;25,"Under 25",IF(Data[[#This Row],[Age]]&lt;35,"25–34",IF(Data[[#This Row],[Age]]&lt;45,"35–44",IF(Data[[#This Row],[Age]]&lt;55,"45–54","55+"))))</f>
        <v>Under 25</v>
      </c>
      <c r="H600" t="s">
        <v>59</v>
      </c>
      <c r="I600" t="s">
        <v>18</v>
      </c>
      <c r="J600" t="s">
        <v>37</v>
      </c>
      <c r="K600" s="1">
        <v>41781</v>
      </c>
      <c r="L600" s="1">
        <v>41901</v>
      </c>
      <c r="M600" s="1" t="str">
        <f>IF(ISBLANK(Data[[#This Row],[EndDate]]),"Active","InActive")</f>
        <v>InActive</v>
      </c>
      <c r="N600" t="s">
        <v>20</v>
      </c>
      <c r="O600" t="s">
        <v>21</v>
      </c>
      <c r="P600" t="s">
        <v>40</v>
      </c>
      <c r="Q600" s="2">
        <v>5750</v>
      </c>
    </row>
    <row r="601" spans="1:17" x14ac:dyDescent="0.2">
      <c r="A601" s="1">
        <v>43435</v>
      </c>
      <c r="B601">
        <v>43426</v>
      </c>
      <c r="C601" t="s">
        <v>80</v>
      </c>
      <c r="D601" t="s">
        <v>38</v>
      </c>
      <c r="E601" t="s">
        <v>39</v>
      </c>
      <c r="F601" s="5">
        <v>23</v>
      </c>
      <c r="G601" t="str">
        <f>IF(Data[[#This Row],[Age]]&lt;25,"Under 25",IF(Data[[#This Row],[Age]]&lt;35,"25–34",IF(Data[[#This Row],[Age]]&lt;45,"35–44",IF(Data[[#This Row],[Age]]&lt;55,"45–54","55+"))))</f>
        <v>Under 25</v>
      </c>
      <c r="H601" t="s">
        <v>59</v>
      </c>
      <c r="I601" t="s">
        <v>18</v>
      </c>
      <c r="J601" t="s">
        <v>37</v>
      </c>
      <c r="K601" s="1">
        <v>41927</v>
      </c>
      <c r="M601" s="1" t="str">
        <f>IF(ISBLANK(Data[[#This Row],[EndDate]]),"Active","InActive")</f>
        <v>Active</v>
      </c>
      <c r="N601" t="s">
        <v>20</v>
      </c>
      <c r="O601" t="s">
        <v>21</v>
      </c>
      <c r="P601" t="s">
        <v>40</v>
      </c>
      <c r="Q601" s="2">
        <v>3657</v>
      </c>
    </row>
    <row r="602" spans="1:17" x14ac:dyDescent="0.2">
      <c r="A602" s="1">
        <v>42705</v>
      </c>
      <c r="B602">
        <v>5202</v>
      </c>
      <c r="C602" t="s">
        <v>80</v>
      </c>
      <c r="D602" t="s">
        <v>50</v>
      </c>
      <c r="E602" t="s">
        <v>55</v>
      </c>
      <c r="F602" s="5">
        <v>23</v>
      </c>
      <c r="G602" t="str">
        <f>IF(Data[[#This Row],[Age]]&lt;25,"Under 25",IF(Data[[#This Row],[Age]]&lt;35,"25–34",IF(Data[[#This Row],[Age]]&lt;45,"35–44",IF(Data[[#This Row],[Age]]&lt;55,"45–54","55+"))))</f>
        <v>Under 25</v>
      </c>
      <c r="H602" t="s">
        <v>34</v>
      </c>
      <c r="I602" t="s">
        <v>18</v>
      </c>
      <c r="J602" t="s">
        <v>37</v>
      </c>
      <c r="K602" s="1">
        <v>40402</v>
      </c>
      <c r="M602" s="1" t="str">
        <f>IF(ISBLANK(Data[[#This Row],[EndDate]]),"Active","InActive")</f>
        <v>Active</v>
      </c>
      <c r="N602" t="s">
        <v>20</v>
      </c>
      <c r="O602" t="s">
        <v>21</v>
      </c>
      <c r="P602" t="s">
        <v>22</v>
      </c>
      <c r="Q602" s="2">
        <v>2645</v>
      </c>
    </row>
    <row r="603" spans="1:17" x14ac:dyDescent="0.2">
      <c r="A603" s="1">
        <v>42705</v>
      </c>
      <c r="B603">
        <v>52966</v>
      </c>
      <c r="C603" t="s">
        <v>79</v>
      </c>
      <c r="D603" t="s">
        <v>23</v>
      </c>
      <c r="E603" t="s">
        <v>24</v>
      </c>
      <c r="F603" s="5">
        <v>23</v>
      </c>
      <c r="G603" t="str">
        <f>IF(Data[[#This Row],[Age]]&lt;25,"Under 25",IF(Data[[#This Row],[Age]]&lt;35,"25–34",IF(Data[[#This Row],[Age]]&lt;45,"35–44",IF(Data[[#This Row],[Age]]&lt;55,"45–54","55+"))))</f>
        <v>Under 25</v>
      </c>
      <c r="H603" t="s">
        <v>34</v>
      </c>
      <c r="I603" t="s">
        <v>18</v>
      </c>
      <c r="J603" t="s">
        <v>37</v>
      </c>
      <c r="K603" s="1">
        <v>39918</v>
      </c>
      <c r="M603" s="1" t="str">
        <f>IF(ISBLANK(Data[[#This Row],[EndDate]]),"Active","InActive")</f>
        <v>Active</v>
      </c>
      <c r="N603" t="s">
        <v>20</v>
      </c>
      <c r="O603" t="s">
        <v>21</v>
      </c>
      <c r="P603" t="s">
        <v>22</v>
      </c>
      <c r="Q603" s="2">
        <v>2254</v>
      </c>
    </row>
    <row r="604" spans="1:17" x14ac:dyDescent="0.2">
      <c r="A604" s="1">
        <v>43070</v>
      </c>
      <c r="B604">
        <v>24614</v>
      </c>
      <c r="C604" t="s">
        <v>79</v>
      </c>
      <c r="D604" t="s">
        <v>43</v>
      </c>
      <c r="E604" t="s">
        <v>66</v>
      </c>
      <c r="F604" s="5">
        <v>23</v>
      </c>
      <c r="G604" t="str">
        <f>IF(Data[[#This Row],[Age]]&lt;25,"Under 25",IF(Data[[#This Row],[Age]]&lt;35,"25–34",IF(Data[[#This Row],[Age]]&lt;45,"35–44",IF(Data[[#This Row],[Age]]&lt;55,"45–54","55+"))))</f>
        <v>Under 25</v>
      </c>
      <c r="H604" t="s">
        <v>49</v>
      </c>
      <c r="I604" t="s">
        <v>18</v>
      </c>
      <c r="J604" t="s">
        <v>37</v>
      </c>
      <c r="K604" s="1">
        <v>41509</v>
      </c>
      <c r="M604" s="1" t="str">
        <f>IF(ISBLANK(Data[[#This Row],[EndDate]]),"Active","InActive")</f>
        <v>Active</v>
      </c>
      <c r="N604" t="s">
        <v>20</v>
      </c>
      <c r="O604" t="s">
        <v>21</v>
      </c>
      <c r="P604" t="s">
        <v>32</v>
      </c>
      <c r="Q604" s="2">
        <v>5140.5</v>
      </c>
    </row>
    <row r="605" spans="1:17" x14ac:dyDescent="0.2">
      <c r="A605" s="1">
        <v>43070</v>
      </c>
      <c r="B605">
        <v>31824</v>
      </c>
      <c r="C605" t="s">
        <v>80</v>
      </c>
      <c r="D605" t="s">
        <v>38</v>
      </c>
      <c r="E605" t="s">
        <v>45</v>
      </c>
      <c r="F605" s="5">
        <v>23</v>
      </c>
      <c r="G605" t="str">
        <f>IF(Data[[#This Row],[Age]]&lt;25,"Under 25",IF(Data[[#This Row],[Age]]&lt;35,"25–34",IF(Data[[#This Row],[Age]]&lt;45,"35–44",IF(Data[[#This Row],[Age]]&lt;55,"45–54","55+"))))</f>
        <v>Under 25</v>
      </c>
      <c r="H605" t="s">
        <v>46</v>
      </c>
      <c r="I605" t="s">
        <v>18</v>
      </c>
      <c r="J605" t="s">
        <v>37</v>
      </c>
      <c r="K605" s="1">
        <v>41061</v>
      </c>
      <c r="M605" s="1" t="str">
        <f>IF(ISBLANK(Data[[#This Row],[EndDate]]),"Active","InActive")</f>
        <v>Active</v>
      </c>
      <c r="N605" t="s">
        <v>20</v>
      </c>
      <c r="O605" t="s">
        <v>21</v>
      </c>
      <c r="P605" t="s">
        <v>32</v>
      </c>
      <c r="Q605" s="2">
        <v>1380</v>
      </c>
    </row>
    <row r="606" spans="1:17" x14ac:dyDescent="0.2">
      <c r="A606" s="1">
        <v>43070</v>
      </c>
      <c r="B606">
        <v>40754</v>
      </c>
      <c r="C606" t="s">
        <v>79</v>
      </c>
      <c r="D606" t="s">
        <v>27</v>
      </c>
      <c r="E606" t="s">
        <v>72</v>
      </c>
      <c r="F606" s="5">
        <v>23</v>
      </c>
      <c r="G606" t="str">
        <f>IF(Data[[#This Row],[Age]]&lt;25,"Under 25",IF(Data[[#This Row],[Age]]&lt;35,"25–34",IF(Data[[#This Row],[Age]]&lt;45,"35–44",IF(Data[[#This Row],[Age]]&lt;55,"45–54","55+"))))</f>
        <v>Under 25</v>
      </c>
      <c r="H606" t="s">
        <v>31</v>
      </c>
      <c r="I606" t="s">
        <v>18</v>
      </c>
      <c r="J606" t="s">
        <v>37</v>
      </c>
      <c r="K606" s="1">
        <v>39667</v>
      </c>
      <c r="M606" s="1" t="str">
        <f>IF(ISBLANK(Data[[#This Row],[EndDate]]),"Active","InActive")</f>
        <v>Active</v>
      </c>
      <c r="N606" t="s">
        <v>20</v>
      </c>
      <c r="O606" t="s">
        <v>21</v>
      </c>
      <c r="P606" t="s">
        <v>32</v>
      </c>
      <c r="Q606" s="2">
        <v>6520.5</v>
      </c>
    </row>
    <row r="607" spans="1:17" x14ac:dyDescent="0.2">
      <c r="A607" s="1">
        <v>43070</v>
      </c>
      <c r="B607">
        <v>43606</v>
      </c>
      <c r="C607" t="s">
        <v>79</v>
      </c>
      <c r="D607" t="s">
        <v>41</v>
      </c>
      <c r="E607" t="s">
        <v>62</v>
      </c>
      <c r="F607" s="5">
        <v>23</v>
      </c>
      <c r="G607" t="str">
        <f>IF(Data[[#This Row],[Age]]&lt;25,"Under 25",IF(Data[[#This Row],[Age]]&lt;35,"25–34",IF(Data[[#This Row],[Age]]&lt;45,"35–44",IF(Data[[#This Row],[Age]]&lt;55,"45–54","55+"))))</f>
        <v>Under 25</v>
      </c>
      <c r="H607" t="s">
        <v>46</v>
      </c>
      <c r="I607" t="s">
        <v>18</v>
      </c>
      <c r="J607" t="s">
        <v>37</v>
      </c>
      <c r="K607" s="1">
        <v>40786</v>
      </c>
      <c r="M607" s="1" t="str">
        <f>IF(ISBLANK(Data[[#This Row],[EndDate]]),"Active","InActive")</f>
        <v>Active</v>
      </c>
      <c r="N607" t="s">
        <v>20</v>
      </c>
      <c r="O607" t="s">
        <v>21</v>
      </c>
      <c r="P607" t="s">
        <v>32</v>
      </c>
      <c r="Q607" s="2">
        <v>9660</v>
      </c>
    </row>
    <row r="608" spans="1:17" x14ac:dyDescent="0.2">
      <c r="A608" s="1">
        <v>43435</v>
      </c>
      <c r="B608">
        <v>43422</v>
      </c>
      <c r="C608" t="s">
        <v>80</v>
      </c>
      <c r="D608" t="s">
        <v>50</v>
      </c>
      <c r="E608" t="s">
        <v>55</v>
      </c>
      <c r="F608" s="5">
        <v>23</v>
      </c>
      <c r="G608" t="str">
        <f>IF(Data[[#This Row],[Age]]&lt;25,"Under 25",IF(Data[[#This Row],[Age]]&lt;35,"25–34",IF(Data[[#This Row],[Age]]&lt;45,"35–44",IF(Data[[#This Row],[Age]]&lt;55,"45–54","55+"))))</f>
        <v>Under 25</v>
      </c>
      <c r="H608" t="s">
        <v>46</v>
      </c>
      <c r="I608" t="s">
        <v>18</v>
      </c>
      <c r="J608" t="s">
        <v>37</v>
      </c>
      <c r="K608" s="1">
        <v>41830</v>
      </c>
      <c r="L608" s="1">
        <v>41950</v>
      </c>
      <c r="M608" s="1" t="str">
        <f>IF(ISBLANK(Data[[#This Row],[EndDate]]),"Active","InActive")</f>
        <v>InActive</v>
      </c>
      <c r="N608" t="s">
        <v>20</v>
      </c>
      <c r="O608" t="s">
        <v>21</v>
      </c>
      <c r="P608" t="s">
        <v>40</v>
      </c>
      <c r="Q608" s="2">
        <v>2150.5</v>
      </c>
    </row>
    <row r="609" spans="1:17" x14ac:dyDescent="0.2">
      <c r="A609" s="1">
        <v>43435</v>
      </c>
      <c r="B609">
        <v>43712</v>
      </c>
      <c r="C609" t="s">
        <v>79</v>
      </c>
      <c r="D609" t="s">
        <v>47</v>
      </c>
      <c r="E609" t="s">
        <v>48</v>
      </c>
      <c r="F609" s="5">
        <v>23</v>
      </c>
      <c r="G609" t="str">
        <f>IF(Data[[#This Row],[Age]]&lt;25,"Under 25",IF(Data[[#This Row],[Age]]&lt;35,"25–34",IF(Data[[#This Row],[Age]]&lt;45,"35–44",IF(Data[[#This Row],[Age]]&lt;55,"45–54","55+"))))</f>
        <v>Under 25</v>
      </c>
      <c r="H609" t="s">
        <v>49</v>
      </c>
      <c r="I609" t="s">
        <v>18</v>
      </c>
      <c r="J609" t="s">
        <v>37</v>
      </c>
      <c r="K609" s="1">
        <v>41837</v>
      </c>
      <c r="M609" s="1" t="str">
        <f>IF(ISBLANK(Data[[#This Row],[EndDate]]),"Active","InActive")</f>
        <v>Active</v>
      </c>
      <c r="N609" t="s">
        <v>20</v>
      </c>
      <c r="O609" t="s">
        <v>21</v>
      </c>
      <c r="P609" t="s">
        <v>40</v>
      </c>
      <c r="Q609" s="2">
        <v>10936.5</v>
      </c>
    </row>
    <row r="610" spans="1:17" x14ac:dyDescent="0.2">
      <c r="A610" s="1">
        <v>43435</v>
      </c>
      <c r="B610">
        <v>43728</v>
      </c>
      <c r="C610" t="s">
        <v>79</v>
      </c>
      <c r="D610" t="s">
        <v>15</v>
      </c>
      <c r="E610" t="s">
        <v>16</v>
      </c>
      <c r="F610" s="5">
        <v>23</v>
      </c>
      <c r="G610" t="str">
        <f>IF(Data[[#This Row],[Age]]&lt;25,"Under 25",IF(Data[[#This Row],[Age]]&lt;35,"25–34",IF(Data[[#This Row],[Age]]&lt;45,"35–44",IF(Data[[#This Row],[Age]]&lt;55,"45–54","55+"))))</f>
        <v>Under 25</v>
      </c>
      <c r="H610" t="s">
        <v>31</v>
      </c>
      <c r="I610" t="s">
        <v>18</v>
      </c>
      <c r="J610" t="s">
        <v>37</v>
      </c>
      <c r="K610" s="1">
        <v>40819</v>
      </c>
      <c r="M610" s="1" t="str">
        <f>IF(ISBLANK(Data[[#This Row],[EndDate]]),"Active","InActive")</f>
        <v>Active</v>
      </c>
      <c r="N610" t="s">
        <v>20</v>
      </c>
      <c r="O610" t="s">
        <v>21</v>
      </c>
      <c r="P610" t="s">
        <v>40</v>
      </c>
      <c r="Q610" s="2">
        <v>2288.5</v>
      </c>
    </row>
    <row r="611" spans="1:17" x14ac:dyDescent="0.2">
      <c r="A611" s="1">
        <v>43435</v>
      </c>
      <c r="B611">
        <v>43738</v>
      </c>
      <c r="C611" t="s">
        <v>80</v>
      </c>
      <c r="D611" t="s">
        <v>50</v>
      </c>
      <c r="E611" t="s">
        <v>51</v>
      </c>
      <c r="F611" s="5">
        <v>23</v>
      </c>
      <c r="G611" t="str">
        <f>IF(Data[[#This Row],[Age]]&lt;25,"Under 25",IF(Data[[#This Row],[Age]]&lt;35,"25–34",IF(Data[[#This Row],[Age]]&lt;45,"35–44",IF(Data[[#This Row],[Age]]&lt;55,"45–54","55+"))))</f>
        <v>Under 25</v>
      </c>
      <c r="H611" t="s">
        <v>31</v>
      </c>
      <c r="I611" t="s">
        <v>18</v>
      </c>
      <c r="J611" t="s">
        <v>37</v>
      </c>
      <c r="K611" s="1">
        <v>40351</v>
      </c>
      <c r="M611" s="1" t="str">
        <f>IF(ISBLANK(Data[[#This Row],[EndDate]]),"Active","InActive")</f>
        <v>Active</v>
      </c>
      <c r="N611" t="s">
        <v>20</v>
      </c>
      <c r="O611" t="s">
        <v>21</v>
      </c>
      <c r="P611" t="s">
        <v>40</v>
      </c>
      <c r="Q611" s="2">
        <v>3806.5</v>
      </c>
    </row>
    <row r="612" spans="1:17" x14ac:dyDescent="0.2">
      <c r="A612" s="1">
        <v>43435</v>
      </c>
      <c r="B612">
        <v>50332</v>
      </c>
      <c r="C612" t="s">
        <v>80</v>
      </c>
      <c r="D612" t="s">
        <v>38</v>
      </c>
      <c r="E612" t="s">
        <v>45</v>
      </c>
      <c r="F612" s="5">
        <v>23</v>
      </c>
      <c r="G612" t="str">
        <f>IF(Data[[#This Row],[Age]]&lt;25,"Under 25",IF(Data[[#This Row],[Age]]&lt;35,"25–34",IF(Data[[#This Row],[Age]]&lt;45,"35–44",IF(Data[[#This Row],[Age]]&lt;55,"45–54","55+"))))</f>
        <v>Under 25</v>
      </c>
      <c r="H612" t="s">
        <v>46</v>
      </c>
      <c r="I612" t="s">
        <v>18</v>
      </c>
      <c r="J612" t="s">
        <v>37</v>
      </c>
      <c r="K612" s="1">
        <v>41261</v>
      </c>
      <c r="M612" s="1" t="str">
        <f>IF(ISBLANK(Data[[#This Row],[EndDate]]),"Active","InActive")</f>
        <v>Active</v>
      </c>
      <c r="N612" t="s">
        <v>20</v>
      </c>
      <c r="O612" t="s">
        <v>21</v>
      </c>
      <c r="P612" t="s">
        <v>40</v>
      </c>
      <c r="Q612" s="2">
        <v>5244</v>
      </c>
    </row>
    <row r="613" spans="1:17" x14ac:dyDescent="0.2">
      <c r="A613" s="1">
        <v>43435</v>
      </c>
      <c r="B613">
        <v>55650</v>
      </c>
      <c r="C613" t="s">
        <v>80</v>
      </c>
      <c r="D613" t="s">
        <v>52</v>
      </c>
      <c r="E613" t="s">
        <v>53</v>
      </c>
      <c r="F613" s="5">
        <v>23</v>
      </c>
      <c r="G613" t="str">
        <f>IF(Data[[#This Row],[Age]]&lt;25,"Under 25",IF(Data[[#This Row],[Age]]&lt;35,"25–34",IF(Data[[#This Row],[Age]]&lt;45,"35–44",IF(Data[[#This Row],[Age]]&lt;55,"45–54","55+"))))</f>
        <v>Under 25</v>
      </c>
      <c r="H613" t="s">
        <v>34</v>
      </c>
      <c r="I613" t="s">
        <v>18</v>
      </c>
      <c r="J613" t="s">
        <v>37</v>
      </c>
      <c r="K613" s="1">
        <v>39717</v>
      </c>
      <c r="M613" s="1" t="str">
        <f>IF(ISBLANK(Data[[#This Row],[EndDate]]),"Active","InActive")</f>
        <v>Active</v>
      </c>
      <c r="N613" t="s">
        <v>20</v>
      </c>
      <c r="O613" t="s">
        <v>21</v>
      </c>
      <c r="P613" t="s">
        <v>40</v>
      </c>
      <c r="Q613" s="2">
        <v>4922</v>
      </c>
    </row>
    <row r="614" spans="1:17" x14ac:dyDescent="0.2">
      <c r="A614" s="1">
        <v>43435</v>
      </c>
      <c r="B614">
        <v>55662</v>
      </c>
      <c r="C614" t="s">
        <v>79</v>
      </c>
      <c r="D614" t="s">
        <v>50</v>
      </c>
      <c r="E614" t="s">
        <v>55</v>
      </c>
      <c r="F614" s="5">
        <v>23</v>
      </c>
      <c r="G614" t="str">
        <f>IF(Data[[#This Row],[Age]]&lt;25,"Under 25",IF(Data[[#This Row],[Age]]&lt;35,"25–34",IF(Data[[#This Row],[Age]]&lt;45,"35–44",IF(Data[[#This Row],[Age]]&lt;55,"45–54","55+"))))</f>
        <v>Under 25</v>
      </c>
      <c r="H614" t="s">
        <v>25</v>
      </c>
      <c r="I614" t="s">
        <v>18</v>
      </c>
      <c r="J614" t="s">
        <v>37</v>
      </c>
      <c r="K614" s="1">
        <v>41948</v>
      </c>
      <c r="M614" s="1" t="str">
        <f>IF(ISBLANK(Data[[#This Row],[EndDate]]),"Active","InActive")</f>
        <v>Active</v>
      </c>
      <c r="N614" t="s">
        <v>20</v>
      </c>
      <c r="O614" t="s">
        <v>21</v>
      </c>
      <c r="P614" t="s">
        <v>40</v>
      </c>
      <c r="Q614" s="2">
        <v>6624</v>
      </c>
    </row>
    <row r="615" spans="1:17" x14ac:dyDescent="0.2">
      <c r="A615" s="1">
        <v>42705</v>
      </c>
      <c r="B615">
        <v>99014</v>
      </c>
      <c r="C615" t="s">
        <v>80</v>
      </c>
      <c r="D615" t="s">
        <v>27</v>
      </c>
      <c r="E615" t="s">
        <v>72</v>
      </c>
      <c r="F615" s="5">
        <v>23</v>
      </c>
      <c r="G615" t="str">
        <f>IF(Data[[#This Row],[Age]]&lt;25,"Under 25",IF(Data[[#This Row],[Age]]&lt;35,"25–34",IF(Data[[#This Row],[Age]]&lt;45,"35–44",IF(Data[[#This Row],[Age]]&lt;55,"45–54","55+"))))</f>
        <v>Under 25</v>
      </c>
      <c r="H615" t="s">
        <v>46</v>
      </c>
      <c r="I615" t="s">
        <v>18</v>
      </c>
      <c r="J615" t="s">
        <v>37</v>
      </c>
      <c r="K615" s="1">
        <v>41242</v>
      </c>
      <c r="M615" s="1" t="str">
        <f>IF(ISBLANK(Data[[#This Row],[EndDate]]),"Active","InActive")</f>
        <v>Active</v>
      </c>
      <c r="N615" t="s">
        <v>20</v>
      </c>
      <c r="O615" t="s">
        <v>21</v>
      </c>
      <c r="P615" t="s">
        <v>22</v>
      </c>
      <c r="Q615" s="2">
        <v>9602.5</v>
      </c>
    </row>
    <row r="616" spans="1:17" x14ac:dyDescent="0.2">
      <c r="A616" s="1">
        <v>42705</v>
      </c>
      <c r="B616">
        <v>99272</v>
      </c>
      <c r="C616" t="s">
        <v>79</v>
      </c>
      <c r="D616" t="s">
        <v>29</v>
      </c>
      <c r="E616" t="s">
        <v>36</v>
      </c>
      <c r="F616" s="5">
        <v>23</v>
      </c>
      <c r="G616" t="str">
        <f>IF(Data[[#This Row],[Age]]&lt;25,"Under 25",IF(Data[[#This Row],[Age]]&lt;35,"25–34",IF(Data[[#This Row],[Age]]&lt;45,"35–44",IF(Data[[#This Row],[Age]]&lt;55,"45–54","55+"))))</f>
        <v>Under 25</v>
      </c>
      <c r="H616" t="s">
        <v>17</v>
      </c>
      <c r="I616" t="s">
        <v>18</v>
      </c>
      <c r="J616" t="s">
        <v>37</v>
      </c>
      <c r="K616" s="1">
        <v>41244</v>
      </c>
      <c r="M616" s="1" t="str">
        <f>IF(ISBLANK(Data[[#This Row],[EndDate]]),"Active","InActive")</f>
        <v>Active</v>
      </c>
      <c r="N616" t="s">
        <v>20</v>
      </c>
      <c r="O616" t="s">
        <v>21</v>
      </c>
      <c r="P616" t="s">
        <v>22</v>
      </c>
      <c r="Q616" s="2">
        <v>10350</v>
      </c>
    </row>
    <row r="617" spans="1:17" x14ac:dyDescent="0.2">
      <c r="A617" s="1">
        <v>42705</v>
      </c>
      <c r="B617">
        <v>99728</v>
      </c>
      <c r="C617" t="s">
        <v>79</v>
      </c>
      <c r="D617" t="s">
        <v>50</v>
      </c>
      <c r="E617" t="s">
        <v>55</v>
      </c>
      <c r="F617" s="5">
        <v>23</v>
      </c>
      <c r="G617" t="str">
        <f>IF(Data[[#This Row],[Age]]&lt;25,"Under 25",IF(Data[[#This Row],[Age]]&lt;35,"25–34",IF(Data[[#This Row],[Age]]&lt;45,"35–44",IF(Data[[#This Row],[Age]]&lt;55,"45–54","55+"))))</f>
        <v>Under 25</v>
      </c>
      <c r="H617" t="s">
        <v>46</v>
      </c>
      <c r="I617" t="s">
        <v>18</v>
      </c>
      <c r="J617" t="s">
        <v>35</v>
      </c>
      <c r="K617" s="1">
        <v>41040</v>
      </c>
      <c r="M617" s="1" t="str">
        <f>IF(ISBLANK(Data[[#This Row],[EndDate]]),"Active","InActive")</f>
        <v>Active</v>
      </c>
      <c r="N617" t="s">
        <v>20</v>
      </c>
      <c r="O617" t="s">
        <v>21</v>
      </c>
      <c r="P617" t="s">
        <v>22</v>
      </c>
      <c r="Q617" s="2">
        <v>10982.5</v>
      </c>
    </row>
    <row r="618" spans="1:17" x14ac:dyDescent="0.2">
      <c r="A618" s="1">
        <v>42705</v>
      </c>
      <c r="B618">
        <v>99456</v>
      </c>
      <c r="C618" t="s">
        <v>79</v>
      </c>
      <c r="D618" t="s">
        <v>27</v>
      </c>
      <c r="E618" t="s">
        <v>72</v>
      </c>
      <c r="F618" s="5">
        <v>23</v>
      </c>
      <c r="G618" t="str">
        <f>IF(Data[[#This Row],[Age]]&lt;25,"Under 25",IF(Data[[#This Row],[Age]]&lt;35,"25–34",IF(Data[[#This Row],[Age]]&lt;45,"35–44",IF(Data[[#This Row],[Age]]&lt;55,"45–54","55+"))))</f>
        <v>Under 25</v>
      </c>
      <c r="H618" t="s">
        <v>59</v>
      </c>
      <c r="I618" t="s">
        <v>18</v>
      </c>
      <c r="J618" t="s">
        <v>19</v>
      </c>
      <c r="K618" s="1">
        <v>41115</v>
      </c>
      <c r="M618" s="1" t="str">
        <f>IF(ISBLANK(Data[[#This Row],[EndDate]]),"Active","InActive")</f>
        <v>Active</v>
      </c>
      <c r="N618" t="s">
        <v>20</v>
      </c>
      <c r="O618" t="s">
        <v>21</v>
      </c>
      <c r="P618" t="s">
        <v>22</v>
      </c>
      <c r="Q618" s="2">
        <v>8326</v>
      </c>
    </row>
    <row r="619" spans="1:17" x14ac:dyDescent="0.2">
      <c r="A619" s="1">
        <v>43070</v>
      </c>
      <c r="B619">
        <v>13480</v>
      </c>
      <c r="C619" t="s">
        <v>80</v>
      </c>
      <c r="D619" t="s">
        <v>27</v>
      </c>
      <c r="E619" t="s">
        <v>72</v>
      </c>
      <c r="F619" s="5">
        <v>23</v>
      </c>
      <c r="G619" t="str">
        <f>IF(Data[[#This Row],[Age]]&lt;25,"Under 25",IF(Data[[#This Row],[Age]]&lt;35,"25–34",IF(Data[[#This Row],[Age]]&lt;45,"35–44",IF(Data[[#This Row],[Age]]&lt;55,"45–54","55+"))))</f>
        <v>Under 25</v>
      </c>
      <c r="H619" t="s">
        <v>25</v>
      </c>
      <c r="I619" t="s">
        <v>18</v>
      </c>
      <c r="J619" t="s">
        <v>37</v>
      </c>
      <c r="K619" s="1">
        <v>41605</v>
      </c>
      <c r="M619" s="1" t="str">
        <f>IF(ISBLANK(Data[[#This Row],[EndDate]]),"Active","InActive")</f>
        <v>Active</v>
      </c>
      <c r="N619" t="s">
        <v>20</v>
      </c>
      <c r="O619" t="s">
        <v>21</v>
      </c>
      <c r="P619" t="s">
        <v>32</v>
      </c>
      <c r="Q619" s="2">
        <v>6957.5</v>
      </c>
    </row>
    <row r="620" spans="1:17" x14ac:dyDescent="0.2">
      <c r="A620" s="1">
        <v>42705</v>
      </c>
      <c r="B620">
        <v>109916</v>
      </c>
      <c r="C620" t="s">
        <v>79</v>
      </c>
      <c r="D620" t="s">
        <v>43</v>
      </c>
      <c r="E620" t="s">
        <v>44</v>
      </c>
      <c r="F620" s="5">
        <v>24</v>
      </c>
      <c r="G620" t="str">
        <f>IF(Data[[#This Row],[Age]]&lt;25,"Under 25",IF(Data[[#This Row],[Age]]&lt;35,"25–34",IF(Data[[#This Row],[Age]]&lt;45,"35–44",IF(Data[[#This Row],[Age]]&lt;55,"45–54","55+"))))</f>
        <v>Under 25</v>
      </c>
      <c r="H620" t="s">
        <v>49</v>
      </c>
      <c r="I620" t="s">
        <v>56</v>
      </c>
      <c r="J620" t="s">
        <v>37</v>
      </c>
      <c r="K620" s="1">
        <v>41252</v>
      </c>
      <c r="M620" s="1" t="str">
        <f>IF(ISBLANK(Data[[#This Row],[EndDate]]),"Active","InActive")</f>
        <v>Active</v>
      </c>
      <c r="N620" t="s">
        <v>57</v>
      </c>
      <c r="O620" t="s">
        <v>21</v>
      </c>
      <c r="P620" t="s">
        <v>22</v>
      </c>
      <c r="Q620" s="2">
        <v>2184</v>
      </c>
    </row>
    <row r="621" spans="1:17" x14ac:dyDescent="0.2">
      <c r="A621" s="1">
        <v>43070</v>
      </c>
      <c r="B621">
        <v>24514</v>
      </c>
      <c r="C621" t="s">
        <v>79</v>
      </c>
      <c r="D621" t="s">
        <v>50</v>
      </c>
      <c r="E621" t="s">
        <v>51</v>
      </c>
      <c r="F621" s="5">
        <v>24</v>
      </c>
      <c r="G621" t="str">
        <f>IF(Data[[#This Row],[Age]]&lt;25,"Under 25",IF(Data[[#This Row],[Age]]&lt;35,"25–34",IF(Data[[#This Row],[Age]]&lt;45,"35–44",IF(Data[[#This Row],[Age]]&lt;55,"45–54","55+"))))</f>
        <v>Under 25</v>
      </c>
      <c r="H621" t="s">
        <v>49</v>
      </c>
      <c r="I621" t="s">
        <v>56</v>
      </c>
      <c r="J621" t="s">
        <v>19</v>
      </c>
      <c r="K621" s="1">
        <v>41627</v>
      </c>
      <c r="M621" s="1" t="str">
        <f>IF(ISBLANK(Data[[#This Row],[EndDate]]),"Active","InActive")</f>
        <v>Active</v>
      </c>
      <c r="N621" t="s">
        <v>57</v>
      </c>
      <c r="O621" t="s">
        <v>21</v>
      </c>
      <c r="P621" t="s">
        <v>32</v>
      </c>
      <c r="Q621" s="2">
        <v>1992</v>
      </c>
    </row>
    <row r="622" spans="1:17" x14ac:dyDescent="0.2">
      <c r="A622" s="1">
        <v>42705</v>
      </c>
      <c r="B622">
        <v>95710</v>
      </c>
      <c r="C622" t="s">
        <v>79</v>
      </c>
      <c r="D622" t="s">
        <v>47</v>
      </c>
      <c r="E622" t="s">
        <v>48</v>
      </c>
      <c r="F622" s="5">
        <v>24</v>
      </c>
      <c r="G622" t="str">
        <f>IF(Data[[#This Row],[Age]]&lt;25,"Under 25",IF(Data[[#This Row],[Age]]&lt;35,"25–34",IF(Data[[#This Row],[Age]]&lt;45,"35–44",IF(Data[[#This Row],[Age]]&lt;55,"45–54","55+"))))</f>
        <v>Under 25</v>
      </c>
      <c r="H622" t="s">
        <v>25</v>
      </c>
      <c r="I622" t="s">
        <v>56</v>
      </c>
      <c r="J622" t="s">
        <v>19</v>
      </c>
      <c r="K622" s="1">
        <v>40948</v>
      </c>
      <c r="M622" s="1" t="str">
        <f>IF(ISBLANK(Data[[#This Row],[EndDate]]),"Active","InActive")</f>
        <v>Active</v>
      </c>
      <c r="N622" t="s">
        <v>57</v>
      </c>
      <c r="O622" t="s">
        <v>21</v>
      </c>
      <c r="P622" t="s">
        <v>22</v>
      </c>
      <c r="Q622" s="2">
        <v>4728</v>
      </c>
    </row>
    <row r="623" spans="1:17" x14ac:dyDescent="0.2">
      <c r="A623" s="1">
        <v>42705</v>
      </c>
      <c r="B623">
        <v>41332</v>
      </c>
      <c r="C623" t="s">
        <v>80</v>
      </c>
      <c r="D623" t="s">
        <v>41</v>
      </c>
      <c r="E623" t="s">
        <v>68</v>
      </c>
      <c r="F623" s="5">
        <v>24</v>
      </c>
      <c r="G623" t="str">
        <f>IF(Data[[#This Row],[Age]]&lt;25,"Under 25",IF(Data[[#This Row],[Age]]&lt;35,"25–34",IF(Data[[#This Row],[Age]]&lt;45,"35–44",IF(Data[[#This Row],[Age]]&lt;55,"45–54","55+"))))</f>
        <v>Under 25</v>
      </c>
      <c r="H623" t="s">
        <v>17</v>
      </c>
      <c r="I623" t="s">
        <v>56</v>
      </c>
      <c r="J623" t="s">
        <v>37</v>
      </c>
      <c r="K623" s="1">
        <v>40106</v>
      </c>
      <c r="M623" s="1" t="str">
        <f>IF(ISBLANK(Data[[#This Row],[EndDate]]),"Active","InActive")</f>
        <v>Active</v>
      </c>
      <c r="N623" t="s">
        <v>57</v>
      </c>
      <c r="O623" t="s">
        <v>21</v>
      </c>
      <c r="P623" t="s">
        <v>22</v>
      </c>
      <c r="Q623" s="2">
        <v>4836</v>
      </c>
    </row>
    <row r="624" spans="1:17" x14ac:dyDescent="0.2">
      <c r="A624" s="1">
        <v>42705</v>
      </c>
      <c r="B624">
        <v>43440</v>
      </c>
      <c r="C624" t="s">
        <v>79</v>
      </c>
      <c r="D624" t="s">
        <v>27</v>
      </c>
      <c r="E624" t="s">
        <v>72</v>
      </c>
      <c r="F624" s="5">
        <v>24</v>
      </c>
      <c r="G624" t="str">
        <f>IF(Data[[#This Row],[Age]]&lt;25,"Under 25",IF(Data[[#This Row],[Age]]&lt;35,"25–34",IF(Data[[#This Row],[Age]]&lt;45,"35–44",IF(Data[[#This Row],[Age]]&lt;55,"45–54","55+"))))</f>
        <v>Under 25</v>
      </c>
      <c r="H624" t="s">
        <v>17</v>
      </c>
      <c r="I624" t="s">
        <v>56</v>
      </c>
      <c r="J624" t="s">
        <v>37</v>
      </c>
      <c r="K624" s="1">
        <v>39233</v>
      </c>
      <c r="M624" s="1" t="str">
        <f>IF(ISBLANK(Data[[#This Row],[EndDate]]),"Active","InActive")</f>
        <v>Active</v>
      </c>
      <c r="N624" t="s">
        <v>57</v>
      </c>
      <c r="O624" t="s">
        <v>21</v>
      </c>
      <c r="P624" t="s">
        <v>22</v>
      </c>
      <c r="Q624" s="2">
        <v>3696</v>
      </c>
    </row>
    <row r="625" spans="1:17" x14ac:dyDescent="0.2">
      <c r="A625" s="1">
        <v>42705</v>
      </c>
      <c r="B625">
        <v>96180</v>
      </c>
      <c r="C625" t="s">
        <v>80</v>
      </c>
      <c r="D625" t="s">
        <v>38</v>
      </c>
      <c r="E625" t="s">
        <v>45</v>
      </c>
      <c r="F625" s="5">
        <v>24</v>
      </c>
      <c r="G625" t="str">
        <f>IF(Data[[#This Row],[Age]]&lt;25,"Under 25",IF(Data[[#This Row],[Age]]&lt;35,"25–34",IF(Data[[#This Row],[Age]]&lt;45,"35–44",IF(Data[[#This Row],[Age]]&lt;55,"45–54","55+"))))</f>
        <v>Under 25</v>
      </c>
      <c r="H625" t="s">
        <v>34</v>
      </c>
      <c r="I625" t="s">
        <v>56</v>
      </c>
      <c r="J625" t="s">
        <v>19</v>
      </c>
      <c r="K625" s="1">
        <v>39476</v>
      </c>
      <c r="M625" s="1" t="str">
        <f>IF(ISBLANK(Data[[#This Row],[EndDate]]),"Active","InActive")</f>
        <v>Active</v>
      </c>
      <c r="N625" t="s">
        <v>57</v>
      </c>
      <c r="O625" t="s">
        <v>21</v>
      </c>
      <c r="P625" t="s">
        <v>22</v>
      </c>
      <c r="Q625" s="2">
        <v>11004</v>
      </c>
    </row>
    <row r="626" spans="1:17" x14ac:dyDescent="0.2">
      <c r="A626" s="1">
        <v>42705</v>
      </c>
      <c r="B626">
        <v>97038</v>
      </c>
      <c r="C626" t="s">
        <v>79</v>
      </c>
      <c r="D626" t="s">
        <v>15</v>
      </c>
      <c r="E626" t="s">
        <v>58</v>
      </c>
      <c r="F626" s="5">
        <v>24</v>
      </c>
      <c r="G626" t="str">
        <f>IF(Data[[#This Row],[Age]]&lt;25,"Under 25",IF(Data[[#This Row],[Age]]&lt;35,"25–34",IF(Data[[#This Row],[Age]]&lt;45,"35–44",IF(Data[[#This Row],[Age]]&lt;55,"45–54","55+"))))</f>
        <v>Under 25</v>
      </c>
      <c r="H626" t="s">
        <v>34</v>
      </c>
      <c r="I626" t="s">
        <v>56</v>
      </c>
      <c r="J626" t="s">
        <v>19</v>
      </c>
      <c r="K626" s="1">
        <v>39357</v>
      </c>
      <c r="L626" s="1">
        <v>39392</v>
      </c>
      <c r="M626" s="1" t="str">
        <f>IF(ISBLANK(Data[[#This Row],[EndDate]]),"Active","InActive")</f>
        <v>InActive</v>
      </c>
      <c r="N626" t="s">
        <v>57</v>
      </c>
      <c r="O626" t="s">
        <v>21</v>
      </c>
      <c r="P626" t="s">
        <v>22</v>
      </c>
      <c r="Q626" s="2">
        <v>2472</v>
      </c>
    </row>
    <row r="627" spans="1:17" x14ac:dyDescent="0.2">
      <c r="A627" s="1">
        <v>43070</v>
      </c>
      <c r="B627">
        <v>42684</v>
      </c>
      <c r="C627" t="s">
        <v>80</v>
      </c>
      <c r="D627" t="s">
        <v>27</v>
      </c>
      <c r="E627" t="s">
        <v>74</v>
      </c>
      <c r="F627" s="5">
        <v>24</v>
      </c>
      <c r="G627" t="str">
        <f>IF(Data[[#This Row],[Age]]&lt;25,"Under 25",IF(Data[[#This Row],[Age]]&lt;35,"25–34",IF(Data[[#This Row],[Age]]&lt;45,"35–44",IF(Data[[#This Row],[Age]]&lt;55,"45–54","55+"))))</f>
        <v>Under 25</v>
      </c>
      <c r="H627" t="s">
        <v>49</v>
      </c>
      <c r="I627" t="s">
        <v>56</v>
      </c>
      <c r="J627" t="s">
        <v>35</v>
      </c>
      <c r="K627" s="1">
        <v>38762</v>
      </c>
      <c r="M627" s="1" t="str">
        <f>IF(ISBLANK(Data[[#This Row],[EndDate]]),"Active","InActive")</f>
        <v>Active</v>
      </c>
      <c r="N627" t="s">
        <v>57</v>
      </c>
      <c r="O627" t="s">
        <v>21</v>
      </c>
      <c r="P627" t="s">
        <v>32</v>
      </c>
      <c r="Q627" s="2">
        <v>11172</v>
      </c>
    </row>
    <row r="628" spans="1:17" x14ac:dyDescent="0.2">
      <c r="A628" s="1">
        <v>43070</v>
      </c>
      <c r="B628">
        <v>50838</v>
      </c>
      <c r="C628" t="s">
        <v>80</v>
      </c>
      <c r="D628" t="s">
        <v>38</v>
      </c>
      <c r="E628" t="s">
        <v>61</v>
      </c>
      <c r="F628" s="5">
        <v>24</v>
      </c>
      <c r="G628" t="str">
        <f>IF(Data[[#This Row],[Age]]&lt;25,"Under 25",IF(Data[[#This Row],[Age]]&lt;35,"25–34",IF(Data[[#This Row],[Age]]&lt;45,"35–44",IF(Data[[#This Row],[Age]]&lt;55,"45–54","55+"))))</f>
        <v>Under 25</v>
      </c>
      <c r="H628" t="s">
        <v>17</v>
      </c>
      <c r="I628" t="s">
        <v>56</v>
      </c>
      <c r="J628" t="s">
        <v>26</v>
      </c>
      <c r="K628" s="1">
        <v>40291</v>
      </c>
      <c r="M628" s="1" t="str">
        <f>IF(ISBLANK(Data[[#This Row],[EndDate]]),"Active","InActive")</f>
        <v>Active</v>
      </c>
      <c r="N628" t="s">
        <v>57</v>
      </c>
      <c r="O628" t="s">
        <v>21</v>
      </c>
      <c r="P628" t="s">
        <v>32</v>
      </c>
      <c r="Q628" s="2">
        <v>10572</v>
      </c>
    </row>
    <row r="629" spans="1:17" x14ac:dyDescent="0.2">
      <c r="A629" s="1">
        <v>43070</v>
      </c>
      <c r="B629">
        <v>96382</v>
      </c>
      <c r="C629" t="s">
        <v>79</v>
      </c>
      <c r="D629" t="s">
        <v>38</v>
      </c>
      <c r="E629" t="s">
        <v>45</v>
      </c>
      <c r="F629" s="5">
        <v>24</v>
      </c>
      <c r="G629" t="str">
        <f>IF(Data[[#This Row],[Age]]&lt;25,"Under 25",IF(Data[[#This Row],[Age]]&lt;35,"25–34",IF(Data[[#This Row],[Age]]&lt;45,"35–44",IF(Data[[#This Row],[Age]]&lt;55,"45–54","55+"))))</f>
        <v>Under 25</v>
      </c>
      <c r="H629" t="s">
        <v>49</v>
      </c>
      <c r="I629" t="s">
        <v>56</v>
      </c>
      <c r="J629" t="s">
        <v>19</v>
      </c>
      <c r="K629" s="1">
        <v>39406</v>
      </c>
      <c r="M629" s="1" t="str">
        <f>IF(ISBLANK(Data[[#This Row],[EndDate]]),"Active","InActive")</f>
        <v>Active</v>
      </c>
      <c r="N629" t="s">
        <v>57</v>
      </c>
      <c r="O629" t="s">
        <v>21</v>
      </c>
      <c r="P629" t="s">
        <v>32</v>
      </c>
      <c r="Q629" s="2">
        <v>5556</v>
      </c>
    </row>
    <row r="630" spans="1:17" x14ac:dyDescent="0.2">
      <c r="A630" s="1">
        <v>43070</v>
      </c>
      <c r="B630">
        <v>97066</v>
      </c>
      <c r="C630" t="s">
        <v>79</v>
      </c>
      <c r="D630" t="s">
        <v>38</v>
      </c>
      <c r="E630" t="s">
        <v>61</v>
      </c>
      <c r="F630" s="5">
        <v>24</v>
      </c>
      <c r="G630" t="str">
        <f>IF(Data[[#This Row],[Age]]&lt;25,"Under 25",IF(Data[[#This Row],[Age]]&lt;35,"25–34",IF(Data[[#This Row],[Age]]&lt;45,"35–44",IF(Data[[#This Row],[Age]]&lt;55,"45–54","55+"))))</f>
        <v>Under 25</v>
      </c>
      <c r="H630" t="s">
        <v>25</v>
      </c>
      <c r="I630" t="s">
        <v>56</v>
      </c>
      <c r="J630" t="s">
        <v>19</v>
      </c>
      <c r="K630" s="1">
        <v>40743</v>
      </c>
      <c r="M630" s="1" t="str">
        <f>IF(ISBLANK(Data[[#This Row],[EndDate]]),"Active","InActive")</f>
        <v>Active</v>
      </c>
      <c r="N630" t="s">
        <v>57</v>
      </c>
      <c r="O630" t="s">
        <v>21</v>
      </c>
      <c r="P630" t="s">
        <v>32</v>
      </c>
      <c r="Q630" s="2">
        <v>9204</v>
      </c>
    </row>
    <row r="631" spans="1:17" x14ac:dyDescent="0.2">
      <c r="A631" s="1">
        <v>43435</v>
      </c>
      <c r="B631">
        <v>91824</v>
      </c>
      <c r="C631" t="s">
        <v>80</v>
      </c>
      <c r="D631" t="s">
        <v>29</v>
      </c>
      <c r="E631" t="s">
        <v>36</v>
      </c>
      <c r="F631" s="5">
        <v>24</v>
      </c>
      <c r="G631" t="str">
        <f>IF(Data[[#This Row],[Age]]&lt;25,"Under 25",IF(Data[[#This Row],[Age]]&lt;35,"25–34",IF(Data[[#This Row],[Age]]&lt;45,"35–44",IF(Data[[#This Row],[Age]]&lt;55,"45–54","55+"))))</f>
        <v>Under 25</v>
      </c>
      <c r="H631" t="s">
        <v>31</v>
      </c>
      <c r="I631" t="s">
        <v>56</v>
      </c>
      <c r="J631" t="s">
        <v>37</v>
      </c>
      <c r="K631" s="1">
        <v>39592</v>
      </c>
      <c r="M631" s="1" t="str">
        <f>IF(ISBLANK(Data[[#This Row],[EndDate]]),"Active","InActive")</f>
        <v>Active</v>
      </c>
      <c r="N631" t="s">
        <v>57</v>
      </c>
      <c r="O631" t="s">
        <v>21</v>
      </c>
      <c r="P631" t="s">
        <v>40</v>
      </c>
      <c r="Q631" s="2">
        <v>6456</v>
      </c>
    </row>
    <row r="632" spans="1:17" x14ac:dyDescent="0.2">
      <c r="A632" s="1">
        <v>42705</v>
      </c>
      <c r="B632">
        <v>97318</v>
      </c>
      <c r="C632" t="s">
        <v>79</v>
      </c>
      <c r="D632" t="s">
        <v>41</v>
      </c>
      <c r="E632" t="s">
        <v>62</v>
      </c>
      <c r="F632" s="5">
        <v>24</v>
      </c>
      <c r="G632" t="str">
        <f>IF(Data[[#This Row],[Age]]&lt;25,"Under 25",IF(Data[[#This Row],[Age]]&lt;35,"25–34",IF(Data[[#This Row],[Age]]&lt;45,"35–44",IF(Data[[#This Row],[Age]]&lt;55,"45–54","55+"))))</f>
        <v>Under 25</v>
      </c>
      <c r="H632" t="s">
        <v>49</v>
      </c>
      <c r="I632" t="s">
        <v>18</v>
      </c>
      <c r="J632" t="s">
        <v>19</v>
      </c>
      <c r="K632" s="1">
        <v>39946</v>
      </c>
      <c r="M632" s="1" t="str">
        <f>IF(ISBLANK(Data[[#This Row],[EndDate]]),"Active","InActive")</f>
        <v>Active</v>
      </c>
      <c r="N632" t="s">
        <v>20</v>
      </c>
      <c r="O632" t="s">
        <v>21</v>
      </c>
      <c r="P632" t="s">
        <v>22</v>
      </c>
      <c r="Q632" s="2">
        <v>8220</v>
      </c>
    </row>
    <row r="633" spans="1:17" x14ac:dyDescent="0.2">
      <c r="A633" s="1">
        <v>43070</v>
      </c>
      <c r="B633">
        <v>97198</v>
      </c>
      <c r="C633" t="s">
        <v>80</v>
      </c>
      <c r="D633" t="s">
        <v>43</v>
      </c>
      <c r="E633" t="s">
        <v>66</v>
      </c>
      <c r="F633" s="5">
        <v>24</v>
      </c>
      <c r="G633" t="str">
        <f>IF(Data[[#This Row],[Age]]&lt;25,"Under 25",IF(Data[[#This Row],[Age]]&lt;35,"25–34",IF(Data[[#This Row],[Age]]&lt;45,"35–44",IF(Data[[#This Row],[Age]]&lt;55,"45–54","55+"))))</f>
        <v>Under 25</v>
      </c>
      <c r="H633" t="s">
        <v>49</v>
      </c>
      <c r="I633" t="s">
        <v>18</v>
      </c>
      <c r="J633" t="s">
        <v>19</v>
      </c>
      <c r="K633" s="1">
        <v>41206</v>
      </c>
      <c r="M633" s="1" t="str">
        <f>IF(ISBLANK(Data[[#This Row],[EndDate]]),"Active","InActive")</f>
        <v>Active</v>
      </c>
      <c r="N633" t="s">
        <v>20</v>
      </c>
      <c r="O633" t="s">
        <v>21</v>
      </c>
      <c r="P633" t="s">
        <v>32</v>
      </c>
      <c r="Q633" s="2">
        <v>9588</v>
      </c>
    </row>
    <row r="634" spans="1:17" x14ac:dyDescent="0.2">
      <c r="A634" s="1">
        <v>43435</v>
      </c>
      <c r="B634">
        <v>96386</v>
      </c>
      <c r="C634" t="s">
        <v>80</v>
      </c>
      <c r="D634" t="s">
        <v>23</v>
      </c>
      <c r="E634" t="s">
        <v>65</v>
      </c>
      <c r="F634" s="5">
        <v>24</v>
      </c>
      <c r="G634" t="str">
        <f>IF(Data[[#This Row],[Age]]&lt;25,"Under 25",IF(Data[[#This Row],[Age]]&lt;35,"25–34",IF(Data[[#This Row],[Age]]&lt;45,"35–44",IF(Data[[#This Row],[Age]]&lt;55,"45–54","55+"))))</f>
        <v>Under 25</v>
      </c>
      <c r="H634" t="s">
        <v>31</v>
      </c>
      <c r="I634" t="s">
        <v>18</v>
      </c>
      <c r="J634" t="s">
        <v>19</v>
      </c>
      <c r="K634" s="1">
        <v>41968</v>
      </c>
      <c r="M634" s="1" t="str">
        <f>IF(ISBLANK(Data[[#This Row],[EndDate]]),"Active","InActive")</f>
        <v>Active</v>
      </c>
      <c r="N634" t="s">
        <v>20</v>
      </c>
      <c r="O634" t="s">
        <v>21</v>
      </c>
      <c r="P634" t="s">
        <v>40</v>
      </c>
      <c r="Q634" s="2">
        <v>9672</v>
      </c>
    </row>
    <row r="635" spans="1:17" x14ac:dyDescent="0.2">
      <c r="A635" s="1">
        <v>42705</v>
      </c>
      <c r="B635">
        <v>49922</v>
      </c>
      <c r="C635" t="s">
        <v>79</v>
      </c>
      <c r="D635" t="s">
        <v>52</v>
      </c>
      <c r="E635" t="s">
        <v>53</v>
      </c>
      <c r="F635" s="5">
        <v>24</v>
      </c>
      <c r="G635" t="str">
        <f>IF(Data[[#This Row],[Age]]&lt;25,"Under 25",IF(Data[[#This Row],[Age]]&lt;35,"25–34",IF(Data[[#This Row],[Age]]&lt;45,"35–44",IF(Data[[#This Row],[Age]]&lt;55,"45–54","55+"))))</f>
        <v>Under 25</v>
      </c>
      <c r="H635" t="s">
        <v>25</v>
      </c>
      <c r="I635" t="s">
        <v>18</v>
      </c>
      <c r="J635" t="s">
        <v>35</v>
      </c>
      <c r="K635" s="1">
        <v>39512</v>
      </c>
      <c r="M635" s="1" t="str">
        <f>IF(ISBLANK(Data[[#This Row],[EndDate]]),"Active","InActive")</f>
        <v>Active</v>
      </c>
      <c r="N635" t="s">
        <v>20</v>
      </c>
      <c r="O635" t="s">
        <v>21</v>
      </c>
      <c r="P635" t="s">
        <v>22</v>
      </c>
      <c r="Q635" s="2">
        <v>1896</v>
      </c>
    </row>
    <row r="636" spans="1:17" x14ac:dyDescent="0.2">
      <c r="A636" s="1">
        <v>42705</v>
      </c>
      <c r="B636">
        <v>106014</v>
      </c>
      <c r="C636" t="s">
        <v>80</v>
      </c>
      <c r="D636" t="s">
        <v>29</v>
      </c>
      <c r="E636" t="s">
        <v>30</v>
      </c>
      <c r="F636" s="5">
        <v>24</v>
      </c>
      <c r="G636" t="str">
        <f>IF(Data[[#This Row],[Age]]&lt;25,"Under 25",IF(Data[[#This Row],[Age]]&lt;35,"25–34",IF(Data[[#This Row],[Age]]&lt;45,"35–44",IF(Data[[#This Row],[Age]]&lt;55,"45–54","55+"))))</f>
        <v>Under 25</v>
      </c>
      <c r="H636" t="s">
        <v>17</v>
      </c>
      <c r="I636" t="s">
        <v>18</v>
      </c>
      <c r="J636" t="s">
        <v>35</v>
      </c>
      <c r="K636" s="1">
        <v>41039</v>
      </c>
      <c r="M636" s="1" t="str">
        <f>IF(ISBLANK(Data[[#This Row],[EndDate]]),"Active","InActive")</f>
        <v>Active</v>
      </c>
      <c r="N636" t="s">
        <v>20</v>
      </c>
      <c r="O636" t="s">
        <v>21</v>
      </c>
      <c r="P636" t="s">
        <v>22</v>
      </c>
      <c r="Q636" s="2">
        <v>2280</v>
      </c>
    </row>
    <row r="637" spans="1:17" x14ac:dyDescent="0.2">
      <c r="A637" s="1">
        <v>43435</v>
      </c>
      <c r="B637">
        <v>50296</v>
      </c>
      <c r="C637" t="s">
        <v>79</v>
      </c>
      <c r="D637" t="s">
        <v>29</v>
      </c>
      <c r="E637" t="s">
        <v>36</v>
      </c>
      <c r="F637" s="5">
        <v>24</v>
      </c>
      <c r="G637" t="str">
        <f>IF(Data[[#This Row],[Age]]&lt;25,"Under 25",IF(Data[[#This Row],[Age]]&lt;35,"25–34",IF(Data[[#This Row],[Age]]&lt;45,"35–44",IF(Data[[#This Row],[Age]]&lt;55,"45–54","55+"))))</f>
        <v>Under 25</v>
      </c>
      <c r="H637" t="s">
        <v>49</v>
      </c>
      <c r="I637" t="s">
        <v>18</v>
      </c>
      <c r="J637" t="s">
        <v>35</v>
      </c>
      <c r="K637" s="1">
        <v>41885</v>
      </c>
      <c r="M637" s="1" t="str">
        <f>IF(ISBLANK(Data[[#This Row],[EndDate]]),"Active","InActive")</f>
        <v>Active</v>
      </c>
      <c r="N637" t="s">
        <v>20</v>
      </c>
      <c r="O637" t="s">
        <v>21</v>
      </c>
      <c r="P637" t="s">
        <v>40</v>
      </c>
      <c r="Q637" s="2">
        <v>2556</v>
      </c>
    </row>
    <row r="638" spans="1:17" x14ac:dyDescent="0.2">
      <c r="A638" s="1">
        <v>43435</v>
      </c>
      <c r="B638">
        <v>51134</v>
      </c>
      <c r="C638" t="s">
        <v>80</v>
      </c>
      <c r="D638" t="s">
        <v>23</v>
      </c>
      <c r="E638" t="s">
        <v>71</v>
      </c>
      <c r="F638" s="5">
        <v>24</v>
      </c>
      <c r="G638" t="str">
        <f>IF(Data[[#This Row],[Age]]&lt;25,"Under 25",IF(Data[[#This Row],[Age]]&lt;35,"25–34",IF(Data[[#This Row],[Age]]&lt;45,"35–44",IF(Data[[#This Row],[Age]]&lt;55,"45–54","55+"))))</f>
        <v>Under 25</v>
      </c>
      <c r="H638" t="s">
        <v>46</v>
      </c>
      <c r="I638" t="s">
        <v>18</v>
      </c>
      <c r="J638" t="s">
        <v>35</v>
      </c>
      <c r="K638" s="1">
        <v>41493</v>
      </c>
      <c r="M638" s="1" t="str">
        <f>IF(ISBLANK(Data[[#This Row],[EndDate]]),"Active","InActive")</f>
        <v>Active</v>
      </c>
      <c r="N638" t="s">
        <v>20</v>
      </c>
      <c r="O638" t="s">
        <v>21</v>
      </c>
      <c r="P638" t="s">
        <v>40</v>
      </c>
      <c r="Q638" s="2">
        <v>2280</v>
      </c>
    </row>
    <row r="639" spans="1:17" x14ac:dyDescent="0.2">
      <c r="A639" s="1">
        <v>43435</v>
      </c>
      <c r="B639">
        <v>51166</v>
      </c>
      <c r="C639" t="s">
        <v>79</v>
      </c>
      <c r="D639" t="s">
        <v>15</v>
      </c>
      <c r="E639" t="s">
        <v>70</v>
      </c>
      <c r="F639" s="5">
        <v>24</v>
      </c>
      <c r="G639" t="str">
        <f>IF(Data[[#This Row],[Age]]&lt;25,"Under 25",IF(Data[[#This Row],[Age]]&lt;35,"25–34",IF(Data[[#This Row],[Age]]&lt;45,"35–44",IF(Data[[#This Row],[Age]]&lt;55,"45–54","55+"))))</f>
        <v>Under 25</v>
      </c>
      <c r="H639" t="s">
        <v>34</v>
      </c>
      <c r="I639" t="s">
        <v>18</v>
      </c>
      <c r="J639" t="s">
        <v>35</v>
      </c>
      <c r="K639" s="1">
        <v>41404</v>
      </c>
      <c r="L639" s="1">
        <v>41524</v>
      </c>
      <c r="M639" s="1" t="str">
        <f>IF(ISBLANK(Data[[#This Row],[EndDate]]),"Active","InActive")</f>
        <v>InActive</v>
      </c>
      <c r="N639" t="s">
        <v>20</v>
      </c>
      <c r="O639" t="s">
        <v>21</v>
      </c>
      <c r="P639" t="s">
        <v>40</v>
      </c>
      <c r="Q639" s="2">
        <v>6696</v>
      </c>
    </row>
    <row r="640" spans="1:17" x14ac:dyDescent="0.2">
      <c r="A640" s="1">
        <v>43435</v>
      </c>
      <c r="B640">
        <v>51658</v>
      </c>
      <c r="C640" t="s">
        <v>79</v>
      </c>
      <c r="D640" t="s">
        <v>27</v>
      </c>
      <c r="E640" t="s">
        <v>28</v>
      </c>
      <c r="F640" s="5">
        <v>24</v>
      </c>
      <c r="G640" t="str">
        <f>IF(Data[[#This Row],[Age]]&lt;25,"Under 25",IF(Data[[#This Row],[Age]]&lt;35,"25–34",IF(Data[[#This Row],[Age]]&lt;45,"35–44",IF(Data[[#This Row],[Age]]&lt;55,"45–54","55+"))))</f>
        <v>Under 25</v>
      </c>
      <c r="H640" t="s">
        <v>34</v>
      </c>
      <c r="I640" t="s">
        <v>18</v>
      </c>
      <c r="J640" t="s">
        <v>35</v>
      </c>
      <c r="K640" s="1">
        <v>41828</v>
      </c>
      <c r="M640" s="1" t="str">
        <f>IF(ISBLANK(Data[[#This Row],[EndDate]]),"Active","InActive")</f>
        <v>Active</v>
      </c>
      <c r="N640" t="s">
        <v>20</v>
      </c>
      <c r="O640" t="s">
        <v>21</v>
      </c>
      <c r="P640" t="s">
        <v>40</v>
      </c>
      <c r="Q640" s="2">
        <v>9168</v>
      </c>
    </row>
    <row r="641" spans="1:17" x14ac:dyDescent="0.2">
      <c r="A641" s="1">
        <v>43435</v>
      </c>
      <c r="B641">
        <v>56264</v>
      </c>
      <c r="C641" t="s">
        <v>80</v>
      </c>
      <c r="D641" t="s">
        <v>52</v>
      </c>
      <c r="E641" t="s">
        <v>69</v>
      </c>
      <c r="F641" s="5">
        <v>24</v>
      </c>
      <c r="G641" t="str">
        <f>IF(Data[[#This Row],[Age]]&lt;25,"Under 25",IF(Data[[#This Row],[Age]]&lt;35,"25–34",IF(Data[[#This Row],[Age]]&lt;45,"35–44",IF(Data[[#This Row],[Age]]&lt;55,"45–54","55+"))))</f>
        <v>Under 25</v>
      </c>
      <c r="H641" t="s">
        <v>59</v>
      </c>
      <c r="I641" t="s">
        <v>18</v>
      </c>
      <c r="J641" t="s">
        <v>35</v>
      </c>
      <c r="K641" s="1">
        <v>41962</v>
      </c>
      <c r="M641" s="1" t="str">
        <f>IF(ISBLANK(Data[[#This Row],[EndDate]]),"Active","InActive")</f>
        <v>Active</v>
      </c>
      <c r="N641" t="s">
        <v>20</v>
      </c>
      <c r="O641" t="s">
        <v>21</v>
      </c>
      <c r="P641" t="s">
        <v>40</v>
      </c>
      <c r="Q641" s="2">
        <v>3048</v>
      </c>
    </row>
    <row r="642" spans="1:17" x14ac:dyDescent="0.2">
      <c r="A642" s="1">
        <v>43435</v>
      </c>
      <c r="B642">
        <v>56276</v>
      </c>
      <c r="C642" t="s">
        <v>80</v>
      </c>
      <c r="D642" t="s">
        <v>50</v>
      </c>
      <c r="E642" t="s">
        <v>55</v>
      </c>
      <c r="F642" s="5">
        <v>24</v>
      </c>
      <c r="G642" t="str">
        <f>IF(Data[[#This Row],[Age]]&lt;25,"Under 25",IF(Data[[#This Row],[Age]]&lt;35,"25–34",IF(Data[[#This Row],[Age]]&lt;45,"35–44",IF(Data[[#This Row],[Age]]&lt;55,"45–54","55+"))))</f>
        <v>Under 25</v>
      </c>
      <c r="H642" t="s">
        <v>17</v>
      </c>
      <c r="I642" t="s">
        <v>18</v>
      </c>
      <c r="J642" t="s">
        <v>35</v>
      </c>
      <c r="K642" s="1">
        <v>41415</v>
      </c>
      <c r="M642" s="1" t="str">
        <f>IF(ISBLANK(Data[[#This Row],[EndDate]]),"Active","InActive")</f>
        <v>Active</v>
      </c>
      <c r="N642" t="s">
        <v>20</v>
      </c>
      <c r="O642" t="s">
        <v>21</v>
      </c>
      <c r="P642" t="s">
        <v>40</v>
      </c>
      <c r="Q642" s="2">
        <v>8604</v>
      </c>
    </row>
    <row r="643" spans="1:17" x14ac:dyDescent="0.2">
      <c r="A643" s="1">
        <v>42705</v>
      </c>
      <c r="B643">
        <v>41306</v>
      </c>
      <c r="C643" t="s">
        <v>79</v>
      </c>
      <c r="D643" t="s">
        <v>29</v>
      </c>
      <c r="E643" t="s">
        <v>30</v>
      </c>
      <c r="F643" s="5">
        <v>24</v>
      </c>
      <c r="G643" t="str">
        <f>IF(Data[[#This Row],[Age]]&lt;25,"Under 25",IF(Data[[#This Row],[Age]]&lt;35,"25–34",IF(Data[[#This Row],[Age]]&lt;45,"35–44",IF(Data[[#This Row],[Age]]&lt;55,"45–54","55+"))))</f>
        <v>Under 25</v>
      </c>
      <c r="H643" t="s">
        <v>34</v>
      </c>
      <c r="I643" t="s">
        <v>18</v>
      </c>
      <c r="J643" t="s">
        <v>37</v>
      </c>
      <c r="K643" s="1">
        <v>40960</v>
      </c>
      <c r="M643" s="1" t="str">
        <f>IF(ISBLANK(Data[[#This Row],[EndDate]]),"Active","InActive")</f>
        <v>Active</v>
      </c>
      <c r="N643" t="s">
        <v>20</v>
      </c>
      <c r="O643" t="s">
        <v>21</v>
      </c>
      <c r="P643" t="s">
        <v>22</v>
      </c>
      <c r="Q643" s="2">
        <v>1560</v>
      </c>
    </row>
    <row r="644" spans="1:17" x14ac:dyDescent="0.2">
      <c r="A644" s="1">
        <v>42705</v>
      </c>
      <c r="B644">
        <v>55786</v>
      </c>
      <c r="C644" t="s">
        <v>79</v>
      </c>
      <c r="D644" t="s">
        <v>41</v>
      </c>
      <c r="E644" t="s">
        <v>42</v>
      </c>
      <c r="F644" s="5">
        <v>24</v>
      </c>
      <c r="G644" t="str">
        <f>IF(Data[[#This Row],[Age]]&lt;25,"Under 25",IF(Data[[#This Row],[Age]]&lt;35,"25–34",IF(Data[[#This Row],[Age]]&lt;45,"35–44",IF(Data[[#This Row],[Age]]&lt;55,"45–54","55+"))))</f>
        <v>Under 25</v>
      </c>
      <c r="H644" t="s">
        <v>31</v>
      </c>
      <c r="I644" t="s">
        <v>18</v>
      </c>
      <c r="J644" t="s">
        <v>37</v>
      </c>
      <c r="K644" s="1">
        <v>39402</v>
      </c>
      <c r="M644" s="1" t="str">
        <f>IF(ISBLANK(Data[[#This Row],[EndDate]]),"Active","InActive")</f>
        <v>Active</v>
      </c>
      <c r="N644" t="s">
        <v>20</v>
      </c>
      <c r="O644" t="s">
        <v>21</v>
      </c>
      <c r="P644" t="s">
        <v>22</v>
      </c>
      <c r="Q644" s="2">
        <v>4500</v>
      </c>
    </row>
    <row r="645" spans="1:17" x14ac:dyDescent="0.2">
      <c r="A645" s="1">
        <v>42705</v>
      </c>
      <c r="B645">
        <v>112270</v>
      </c>
      <c r="C645" t="s">
        <v>80</v>
      </c>
      <c r="D645" t="s">
        <v>52</v>
      </c>
      <c r="E645" t="s">
        <v>53</v>
      </c>
      <c r="F645" s="5">
        <v>24</v>
      </c>
      <c r="G645" t="str">
        <f>IF(Data[[#This Row],[Age]]&lt;25,"Under 25",IF(Data[[#This Row],[Age]]&lt;35,"25–34",IF(Data[[#This Row],[Age]]&lt;45,"35–44",IF(Data[[#This Row],[Age]]&lt;55,"45–54","55+"))))</f>
        <v>Under 25</v>
      </c>
      <c r="H645" t="s">
        <v>31</v>
      </c>
      <c r="I645" t="s">
        <v>18</v>
      </c>
      <c r="J645" t="s">
        <v>37</v>
      </c>
      <c r="K645" s="1">
        <v>41223</v>
      </c>
      <c r="M645" s="1" t="str">
        <f>IF(ISBLANK(Data[[#This Row],[EndDate]]),"Active","InActive")</f>
        <v>Active</v>
      </c>
      <c r="N645" t="s">
        <v>20</v>
      </c>
      <c r="O645" t="s">
        <v>21</v>
      </c>
      <c r="P645" t="s">
        <v>22</v>
      </c>
      <c r="Q645" s="2">
        <v>10956</v>
      </c>
    </row>
    <row r="646" spans="1:17" x14ac:dyDescent="0.2">
      <c r="A646" s="1">
        <v>43070</v>
      </c>
      <c r="B646">
        <v>2058</v>
      </c>
      <c r="C646" t="s">
        <v>80</v>
      </c>
      <c r="D646" t="s">
        <v>15</v>
      </c>
      <c r="E646" t="s">
        <v>70</v>
      </c>
      <c r="F646" s="5">
        <v>24</v>
      </c>
      <c r="G646" t="str">
        <f>IF(Data[[#This Row],[Age]]&lt;25,"Under 25",IF(Data[[#This Row],[Age]]&lt;35,"25–34",IF(Data[[#This Row],[Age]]&lt;45,"35–44",IF(Data[[#This Row],[Age]]&lt;55,"45–54","55+"))))</f>
        <v>Under 25</v>
      </c>
      <c r="H646" t="s">
        <v>25</v>
      </c>
      <c r="I646" t="s">
        <v>18</v>
      </c>
      <c r="J646" t="s">
        <v>37</v>
      </c>
      <c r="K646" s="1">
        <v>41494</v>
      </c>
      <c r="M646" s="1" t="str">
        <f>IF(ISBLANK(Data[[#This Row],[EndDate]]),"Active","InActive")</f>
        <v>Active</v>
      </c>
      <c r="N646" t="s">
        <v>20</v>
      </c>
      <c r="O646" t="s">
        <v>21</v>
      </c>
      <c r="P646" t="s">
        <v>32</v>
      </c>
      <c r="Q646" s="2">
        <v>7872</v>
      </c>
    </row>
    <row r="647" spans="1:17" x14ac:dyDescent="0.2">
      <c r="A647" s="1">
        <v>43070</v>
      </c>
      <c r="B647">
        <v>16672</v>
      </c>
      <c r="C647" t="s">
        <v>79</v>
      </c>
      <c r="D647" t="s">
        <v>15</v>
      </c>
      <c r="E647" t="s">
        <v>70</v>
      </c>
      <c r="F647" s="5">
        <v>24</v>
      </c>
      <c r="G647" t="str">
        <f>IF(Data[[#This Row],[Age]]&lt;25,"Under 25",IF(Data[[#This Row],[Age]]&lt;35,"25–34",IF(Data[[#This Row],[Age]]&lt;45,"35–44",IF(Data[[#This Row],[Age]]&lt;55,"45–54","55+"))))</f>
        <v>Under 25</v>
      </c>
      <c r="H647" t="s">
        <v>17</v>
      </c>
      <c r="I647" t="s">
        <v>18</v>
      </c>
      <c r="J647" t="s">
        <v>37</v>
      </c>
      <c r="K647" s="1">
        <v>41493</v>
      </c>
      <c r="M647" s="1" t="str">
        <f>IF(ISBLANK(Data[[#This Row],[EndDate]]),"Active","InActive")</f>
        <v>Active</v>
      </c>
      <c r="N647" t="s">
        <v>20</v>
      </c>
      <c r="O647" t="s">
        <v>21</v>
      </c>
      <c r="P647" t="s">
        <v>32</v>
      </c>
      <c r="Q647" s="2">
        <v>3480</v>
      </c>
    </row>
    <row r="648" spans="1:17" x14ac:dyDescent="0.2">
      <c r="A648" s="1">
        <v>43435</v>
      </c>
      <c r="B648">
        <v>41058</v>
      </c>
      <c r="C648" t="s">
        <v>79</v>
      </c>
      <c r="D648" t="s">
        <v>47</v>
      </c>
      <c r="E648" t="s">
        <v>48</v>
      </c>
      <c r="F648" s="5">
        <v>24</v>
      </c>
      <c r="G648" t="str">
        <f>IF(Data[[#This Row],[Age]]&lt;25,"Under 25",IF(Data[[#This Row],[Age]]&lt;35,"25–34",IF(Data[[#This Row],[Age]]&lt;45,"35–44",IF(Data[[#This Row],[Age]]&lt;55,"45–54","55+"))))</f>
        <v>Under 25</v>
      </c>
      <c r="H648" t="s">
        <v>59</v>
      </c>
      <c r="I648" t="s">
        <v>18</v>
      </c>
      <c r="J648" t="s">
        <v>37</v>
      </c>
      <c r="K648" s="1">
        <v>40842</v>
      </c>
      <c r="M648" s="1" t="str">
        <f>IF(ISBLANK(Data[[#This Row],[EndDate]]),"Active","InActive")</f>
        <v>Active</v>
      </c>
      <c r="N648" t="s">
        <v>20</v>
      </c>
      <c r="O648" t="s">
        <v>21</v>
      </c>
      <c r="P648" t="s">
        <v>40</v>
      </c>
      <c r="Q648" s="2">
        <v>3912</v>
      </c>
    </row>
    <row r="649" spans="1:17" x14ac:dyDescent="0.2">
      <c r="A649" s="1">
        <v>42705</v>
      </c>
      <c r="B649">
        <v>118602</v>
      </c>
      <c r="C649" t="s">
        <v>79</v>
      </c>
      <c r="D649" t="s">
        <v>27</v>
      </c>
      <c r="E649" t="s">
        <v>72</v>
      </c>
      <c r="F649" s="5">
        <v>24</v>
      </c>
      <c r="G649" t="str">
        <f>IF(Data[[#This Row],[Age]]&lt;25,"Under 25",IF(Data[[#This Row],[Age]]&lt;35,"25–34",IF(Data[[#This Row],[Age]]&lt;45,"35–44",IF(Data[[#This Row],[Age]]&lt;55,"45–54","55+"))))</f>
        <v>Under 25</v>
      </c>
      <c r="H649" t="s">
        <v>17</v>
      </c>
      <c r="I649" t="s">
        <v>18</v>
      </c>
      <c r="J649" t="s">
        <v>37</v>
      </c>
      <c r="K649" s="1">
        <v>41014</v>
      </c>
      <c r="M649" s="1" t="str">
        <f>IF(ISBLANK(Data[[#This Row],[EndDate]]),"Active","InActive")</f>
        <v>Active</v>
      </c>
      <c r="N649" t="s">
        <v>20</v>
      </c>
      <c r="O649" t="s">
        <v>21</v>
      </c>
      <c r="P649" t="s">
        <v>22</v>
      </c>
      <c r="Q649" s="2">
        <v>2628</v>
      </c>
    </row>
    <row r="650" spans="1:17" x14ac:dyDescent="0.2">
      <c r="A650" s="1">
        <v>42705</v>
      </c>
      <c r="B650">
        <v>120380</v>
      </c>
      <c r="C650" t="s">
        <v>80</v>
      </c>
      <c r="D650" t="s">
        <v>47</v>
      </c>
      <c r="E650" t="s">
        <v>48</v>
      </c>
      <c r="F650" s="5">
        <v>24</v>
      </c>
      <c r="G650" t="str">
        <f>IF(Data[[#This Row],[Age]]&lt;25,"Under 25",IF(Data[[#This Row],[Age]]&lt;35,"25–34",IF(Data[[#This Row],[Age]]&lt;45,"35–44",IF(Data[[#This Row],[Age]]&lt;55,"45–54","55+"))))</f>
        <v>Under 25</v>
      </c>
      <c r="H650" t="s">
        <v>31</v>
      </c>
      <c r="I650" t="s">
        <v>18</v>
      </c>
      <c r="J650" t="s">
        <v>37</v>
      </c>
      <c r="K650" s="1">
        <v>40689</v>
      </c>
      <c r="M650" s="1" t="str">
        <f>IF(ISBLANK(Data[[#This Row],[EndDate]]),"Active","InActive")</f>
        <v>Active</v>
      </c>
      <c r="N650" t="s">
        <v>20</v>
      </c>
      <c r="O650" t="s">
        <v>21</v>
      </c>
      <c r="P650" t="s">
        <v>22</v>
      </c>
      <c r="Q650" s="2">
        <v>7044</v>
      </c>
    </row>
    <row r="651" spans="1:17" x14ac:dyDescent="0.2">
      <c r="A651" s="1">
        <v>43070</v>
      </c>
      <c r="B651">
        <v>18130</v>
      </c>
      <c r="C651" t="s">
        <v>80</v>
      </c>
      <c r="D651" t="s">
        <v>50</v>
      </c>
      <c r="E651" t="s">
        <v>55</v>
      </c>
      <c r="F651" s="5">
        <v>24</v>
      </c>
      <c r="G651" t="str">
        <f>IF(Data[[#This Row],[Age]]&lt;25,"Under 25",IF(Data[[#This Row],[Age]]&lt;35,"25–34",IF(Data[[#This Row],[Age]]&lt;45,"35–44",IF(Data[[#This Row],[Age]]&lt;55,"45–54","55+"))))</f>
        <v>Under 25</v>
      </c>
      <c r="H651" t="s">
        <v>31</v>
      </c>
      <c r="I651" t="s">
        <v>18</v>
      </c>
      <c r="J651" t="s">
        <v>37</v>
      </c>
      <c r="K651" s="1">
        <v>41578</v>
      </c>
      <c r="M651" s="1" t="str">
        <f>IF(ISBLANK(Data[[#This Row],[EndDate]]),"Active","InActive")</f>
        <v>Active</v>
      </c>
      <c r="N651" t="s">
        <v>20</v>
      </c>
      <c r="O651" t="s">
        <v>21</v>
      </c>
      <c r="P651" t="s">
        <v>32</v>
      </c>
      <c r="Q651" s="2">
        <v>6684</v>
      </c>
    </row>
    <row r="652" spans="1:17" x14ac:dyDescent="0.2">
      <c r="A652" s="1">
        <v>43070</v>
      </c>
      <c r="B652">
        <v>51974</v>
      </c>
      <c r="C652" t="s">
        <v>79</v>
      </c>
      <c r="D652" t="s">
        <v>29</v>
      </c>
      <c r="E652" t="s">
        <v>36</v>
      </c>
      <c r="F652" s="5">
        <v>24</v>
      </c>
      <c r="G652" t="str">
        <f>IF(Data[[#This Row],[Age]]&lt;25,"Under 25",IF(Data[[#This Row],[Age]]&lt;35,"25–34",IF(Data[[#This Row],[Age]]&lt;45,"35–44",IF(Data[[#This Row],[Age]]&lt;55,"45–54","55+"))))</f>
        <v>Under 25</v>
      </c>
      <c r="H652" t="s">
        <v>34</v>
      </c>
      <c r="I652" t="s">
        <v>18</v>
      </c>
      <c r="J652" t="s">
        <v>37</v>
      </c>
      <c r="K652" s="1">
        <v>40757</v>
      </c>
      <c r="M652" s="1" t="str">
        <f>IF(ISBLANK(Data[[#This Row],[EndDate]]),"Active","InActive")</f>
        <v>Active</v>
      </c>
      <c r="N652" t="s">
        <v>20</v>
      </c>
      <c r="O652" t="s">
        <v>21</v>
      </c>
      <c r="P652" t="s">
        <v>32</v>
      </c>
      <c r="Q652" s="2">
        <v>7344</v>
      </c>
    </row>
    <row r="653" spans="1:17" x14ac:dyDescent="0.2">
      <c r="A653" s="1">
        <v>43435</v>
      </c>
      <c r="B653">
        <v>49044</v>
      </c>
      <c r="C653" t="s">
        <v>80</v>
      </c>
      <c r="D653" t="s">
        <v>41</v>
      </c>
      <c r="E653" t="s">
        <v>62</v>
      </c>
      <c r="F653" s="5">
        <v>24</v>
      </c>
      <c r="G653" t="str">
        <f>IF(Data[[#This Row],[Age]]&lt;25,"Under 25",IF(Data[[#This Row],[Age]]&lt;35,"25–34",IF(Data[[#This Row],[Age]]&lt;45,"35–44",IF(Data[[#This Row],[Age]]&lt;55,"45–54","55+"))))</f>
        <v>Under 25</v>
      </c>
      <c r="H653" t="s">
        <v>49</v>
      </c>
      <c r="I653" t="s">
        <v>18</v>
      </c>
      <c r="J653" t="s">
        <v>37</v>
      </c>
      <c r="K653" s="1">
        <v>41850</v>
      </c>
      <c r="M653" s="1" t="str">
        <f>IF(ISBLANK(Data[[#This Row],[EndDate]]),"Active","InActive")</f>
        <v>Active</v>
      </c>
      <c r="N653" t="s">
        <v>20</v>
      </c>
      <c r="O653" t="s">
        <v>21</v>
      </c>
      <c r="P653" t="s">
        <v>40</v>
      </c>
      <c r="Q653" s="2">
        <v>9504</v>
      </c>
    </row>
    <row r="654" spans="1:17" x14ac:dyDescent="0.2">
      <c r="A654" s="1">
        <v>43435</v>
      </c>
      <c r="B654">
        <v>51962</v>
      </c>
      <c r="C654" t="s">
        <v>80</v>
      </c>
      <c r="D654" t="s">
        <v>38</v>
      </c>
      <c r="E654" t="s">
        <v>45</v>
      </c>
      <c r="F654" s="5">
        <v>24</v>
      </c>
      <c r="G654" t="str">
        <f>IF(Data[[#This Row],[Age]]&lt;25,"Under 25",IF(Data[[#This Row],[Age]]&lt;35,"25–34",IF(Data[[#This Row],[Age]]&lt;45,"35–44",IF(Data[[#This Row],[Age]]&lt;55,"45–54","55+"))))</f>
        <v>Under 25</v>
      </c>
      <c r="H654" t="s">
        <v>17</v>
      </c>
      <c r="I654" t="s">
        <v>18</v>
      </c>
      <c r="J654" t="s">
        <v>37</v>
      </c>
      <c r="K654" s="1">
        <v>41900</v>
      </c>
      <c r="M654" s="1" t="str">
        <f>IF(ISBLANK(Data[[#This Row],[EndDate]]),"Active","InActive")</f>
        <v>Active</v>
      </c>
      <c r="N654" t="s">
        <v>20</v>
      </c>
      <c r="O654" t="s">
        <v>21</v>
      </c>
      <c r="P654" t="s">
        <v>40</v>
      </c>
      <c r="Q654" s="2">
        <v>3972</v>
      </c>
    </row>
    <row r="655" spans="1:17" x14ac:dyDescent="0.2">
      <c r="A655" s="1">
        <v>43435</v>
      </c>
      <c r="B655">
        <v>52446</v>
      </c>
      <c r="C655" t="s">
        <v>80</v>
      </c>
      <c r="D655" t="s">
        <v>52</v>
      </c>
      <c r="E655" t="s">
        <v>67</v>
      </c>
      <c r="F655" s="5">
        <v>24</v>
      </c>
      <c r="G655" t="str">
        <f>IF(Data[[#This Row],[Age]]&lt;25,"Under 25",IF(Data[[#This Row],[Age]]&lt;35,"25–34",IF(Data[[#This Row],[Age]]&lt;45,"35–44",IF(Data[[#This Row],[Age]]&lt;55,"45–54","55+"))))</f>
        <v>Under 25</v>
      </c>
      <c r="H655" t="s">
        <v>46</v>
      </c>
      <c r="I655" t="s">
        <v>18</v>
      </c>
      <c r="J655" t="s">
        <v>37</v>
      </c>
      <c r="K655" s="1">
        <v>41320</v>
      </c>
      <c r="M655" s="1" t="str">
        <f>IF(ISBLANK(Data[[#This Row],[EndDate]]),"Active","InActive")</f>
        <v>Active</v>
      </c>
      <c r="N655" t="s">
        <v>20</v>
      </c>
      <c r="O655" t="s">
        <v>21</v>
      </c>
      <c r="P655" t="s">
        <v>40</v>
      </c>
      <c r="Q655" s="2">
        <v>7380</v>
      </c>
    </row>
    <row r="656" spans="1:17" x14ac:dyDescent="0.2">
      <c r="A656" s="1">
        <v>43435</v>
      </c>
      <c r="B656">
        <v>52814</v>
      </c>
      <c r="C656" t="s">
        <v>79</v>
      </c>
      <c r="D656" t="s">
        <v>43</v>
      </c>
      <c r="E656" t="s">
        <v>60</v>
      </c>
      <c r="F656" s="5">
        <v>24</v>
      </c>
      <c r="G656" t="str">
        <f>IF(Data[[#This Row],[Age]]&lt;25,"Under 25",IF(Data[[#This Row],[Age]]&lt;35,"25–34",IF(Data[[#This Row],[Age]]&lt;45,"35–44",IF(Data[[#This Row],[Age]]&lt;55,"45–54","55+"))))</f>
        <v>Under 25</v>
      </c>
      <c r="H656" t="s">
        <v>17</v>
      </c>
      <c r="I656" t="s">
        <v>18</v>
      </c>
      <c r="J656" t="s">
        <v>37</v>
      </c>
      <c r="K656" s="1">
        <v>41950</v>
      </c>
      <c r="M656" s="1" t="str">
        <f>IF(ISBLANK(Data[[#This Row],[EndDate]]),"Active","InActive")</f>
        <v>Active</v>
      </c>
      <c r="N656" t="s">
        <v>20</v>
      </c>
      <c r="O656" t="s">
        <v>21</v>
      </c>
      <c r="P656" t="s">
        <v>40</v>
      </c>
      <c r="Q656" s="2">
        <v>3132</v>
      </c>
    </row>
    <row r="657" spans="1:17" x14ac:dyDescent="0.2">
      <c r="A657" s="1">
        <v>43435</v>
      </c>
      <c r="B657">
        <v>54316</v>
      </c>
      <c r="C657" t="s">
        <v>80</v>
      </c>
      <c r="D657" t="s">
        <v>23</v>
      </c>
      <c r="E657" t="s">
        <v>71</v>
      </c>
      <c r="F657" s="5">
        <v>24</v>
      </c>
      <c r="G657" t="str">
        <f>IF(Data[[#This Row],[Age]]&lt;25,"Under 25",IF(Data[[#This Row],[Age]]&lt;35,"25–34",IF(Data[[#This Row],[Age]]&lt;45,"35–44",IF(Data[[#This Row],[Age]]&lt;55,"45–54","55+"))))</f>
        <v>Under 25</v>
      </c>
      <c r="H657" t="s">
        <v>46</v>
      </c>
      <c r="I657" t="s">
        <v>18</v>
      </c>
      <c r="J657" t="s">
        <v>37</v>
      </c>
      <c r="K657" s="1">
        <v>38973</v>
      </c>
      <c r="L657" s="1">
        <v>39093</v>
      </c>
      <c r="M657" s="1" t="str">
        <f>IF(ISBLANK(Data[[#This Row],[EndDate]]),"Active","InActive")</f>
        <v>InActive</v>
      </c>
      <c r="N657" t="s">
        <v>20</v>
      </c>
      <c r="O657" t="s">
        <v>21</v>
      </c>
      <c r="P657" t="s">
        <v>40</v>
      </c>
      <c r="Q657" s="2">
        <v>6768</v>
      </c>
    </row>
    <row r="658" spans="1:17" x14ac:dyDescent="0.2">
      <c r="A658" s="1">
        <v>43435</v>
      </c>
      <c r="B658">
        <v>55026</v>
      </c>
      <c r="C658" t="s">
        <v>79</v>
      </c>
      <c r="D658" t="s">
        <v>52</v>
      </c>
      <c r="E658" t="s">
        <v>69</v>
      </c>
      <c r="F658" s="5">
        <v>24</v>
      </c>
      <c r="G658" t="str">
        <f>IF(Data[[#This Row],[Age]]&lt;25,"Under 25",IF(Data[[#This Row],[Age]]&lt;35,"25–34",IF(Data[[#This Row],[Age]]&lt;45,"35–44",IF(Data[[#This Row],[Age]]&lt;55,"45–54","55+"))))</f>
        <v>Under 25</v>
      </c>
      <c r="H658" t="s">
        <v>34</v>
      </c>
      <c r="I658" t="s">
        <v>18</v>
      </c>
      <c r="J658" t="s">
        <v>37</v>
      </c>
      <c r="K658" s="1">
        <v>41936</v>
      </c>
      <c r="M658" s="1" t="str">
        <f>IF(ISBLANK(Data[[#This Row],[EndDate]]),"Active","InActive")</f>
        <v>Active</v>
      </c>
      <c r="N658" t="s">
        <v>20</v>
      </c>
      <c r="O658" t="s">
        <v>21</v>
      </c>
      <c r="P658" t="s">
        <v>40</v>
      </c>
      <c r="Q658" s="2">
        <v>6888</v>
      </c>
    </row>
    <row r="659" spans="1:17" x14ac:dyDescent="0.2">
      <c r="A659" s="1">
        <v>42705</v>
      </c>
      <c r="B659">
        <v>25640</v>
      </c>
      <c r="C659" t="s">
        <v>80</v>
      </c>
      <c r="D659" t="s">
        <v>27</v>
      </c>
      <c r="E659" t="s">
        <v>28</v>
      </c>
      <c r="F659" s="5">
        <v>24</v>
      </c>
      <c r="G659" t="str">
        <f>IF(Data[[#This Row],[Age]]&lt;25,"Under 25",IF(Data[[#This Row],[Age]]&lt;35,"25–34",IF(Data[[#This Row],[Age]]&lt;45,"35–44",IF(Data[[#This Row],[Age]]&lt;55,"45–54","55+"))))</f>
        <v>Under 25</v>
      </c>
      <c r="H659" t="s">
        <v>31</v>
      </c>
      <c r="I659" t="s">
        <v>18</v>
      </c>
      <c r="J659" t="s">
        <v>26</v>
      </c>
      <c r="K659" s="1">
        <v>41145</v>
      </c>
      <c r="M659" s="1" t="str">
        <f>IF(ISBLANK(Data[[#This Row],[EndDate]]),"Active","InActive")</f>
        <v>Active</v>
      </c>
      <c r="N659" t="s">
        <v>20</v>
      </c>
      <c r="O659" t="s">
        <v>21</v>
      </c>
      <c r="P659" t="s">
        <v>22</v>
      </c>
      <c r="Q659" s="2">
        <v>4956</v>
      </c>
    </row>
    <row r="660" spans="1:17" x14ac:dyDescent="0.2">
      <c r="A660" s="1">
        <v>42705</v>
      </c>
      <c r="B660">
        <v>49950</v>
      </c>
      <c r="C660" t="s">
        <v>79</v>
      </c>
      <c r="D660" t="s">
        <v>38</v>
      </c>
      <c r="E660" t="s">
        <v>45</v>
      </c>
      <c r="F660" s="5">
        <v>24</v>
      </c>
      <c r="G660" t="str">
        <f>IF(Data[[#This Row],[Age]]&lt;25,"Under 25",IF(Data[[#This Row],[Age]]&lt;35,"25–34",IF(Data[[#This Row],[Age]]&lt;45,"35–44",IF(Data[[#This Row],[Age]]&lt;55,"45–54","55+"))))</f>
        <v>Under 25</v>
      </c>
      <c r="H660" t="s">
        <v>46</v>
      </c>
      <c r="I660" t="s">
        <v>18</v>
      </c>
      <c r="J660" t="s">
        <v>26</v>
      </c>
      <c r="K660" s="1">
        <v>40997</v>
      </c>
      <c r="M660" s="1" t="str">
        <f>IF(ISBLANK(Data[[#This Row],[EndDate]]),"Active","InActive")</f>
        <v>Active</v>
      </c>
      <c r="N660" t="s">
        <v>20</v>
      </c>
      <c r="O660" t="s">
        <v>21</v>
      </c>
      <c r="P660" t="s">
        <v>22</v>
      </c>
      <c r="Q660" s="2">
        <v>9840</v>
      </c>
    </row>
    <row r="661" spans="1:17" x14ac:dyDescent="0.2">
      <c r="A661" s="1">
        <v>42705</v>
      </c>
      <c r="B661">
        <v>113214</v>
      </c>
      <c r="C661" t="s">
        <v>79</v>
      </c>
      <c r="D661" t="s">
        <v>50</v>
      </c>
      <c r="E661" t="s">
        <v>55</v>
      </c>
      <c r="F661" s="5">
        <v>24</v>
      </c>
      <c r="G661" t="str">
        <f>IF(Data[[#This Row],[Age]]&lt;25,"Under 25",IF(Data[[#This Row],[Age]]&lt;35,"25–34",IF(Data[[#This Row],[Age]]&lt;45,"35–44",IF(Data[[#This Row],[Age]]&lt;55,"45–54","55+"))))</f>
        <v>Under 25</v>
      </c>
      <c r="H661" t="s">
        <v>49</v>
      </c>
      <c r="I661" t="s">
        <v>18</v>
      </c>
      <c r="J661" t="s">
        <v>26</v>
      </c>
      <c r="K661" s="1">
        <v>40978</v>
      </c>
      <c r="L661" s="1">
        <v>41013</v>
      </c>
      <c r="M661" s="1" t="str">
        <f>IF(ISBLANK(Data[[#This Row],[EndDate]]),"Active","InActive")</f>
        <v>InActive</v>
      </c>
      <c r="N661" t="s">
        <v>20</v>
      </c>
      <c r="O661" t="s">
        <v>21</v>
      </c>
      <c r="P661" t="s">
        <v>22</v>
      </c>
      <c r="Q661" s="2">
        <v>9564</v>
      </c>
    </row>
    <row r="662" spans="1:17" x14ac:dyDescent="0.2">
      <c r="A662" s="1">
        <v>43070</v>
      </c>
      <c r="B662">
        <v>56334</v>
      </c>
      <c r="C662" t="s">
        <v>79</v>
      </c>
      <c r="D662" t="s">
        <v>27</v>
      </c>
      <c r="E662" t="s">
        <v>28</v>
      </c>
      <c r="F662" s="5">
        <v>24</v>
      </c>
      <c r="G662" t="str">
        <f>IF(Data[[#This Row],[Age]]&lt;25,"Under 25",IF(Data[[#This Row],[Age]]&lt;35,"25–34",IF(Data[[#This Row],[Age]]&lt;45,"35–44",IF(Data[[#This Row],[Age]]&lt;55,"45–54","55+"))))</f>
        <v>Under 25</v>
      </c>
      <c r="H662" t="s">
        <v>17</v>
      </c>
      <c r="I662" t="s">
        <v>18</v>
      </c>
      <c r="J662" t="s">
        <v>26</v>
      </c>
      <c r="K662" s="1">
        <v>41360</v>
      </c>
      <c r="M662" s="1" t="str">
        <f>IF(ISBLANK(Data[[#This Row],[EndDate]]),"Active","InActive")</f>
        <v>Active</v>
      </c>
      <c r="N662" t="s">
        <v>20</v>
      </c>
      <c r="O662" t="s">
        <v>21</v>
      </c>
      <c r="P662" t="s">
        <v>32</v>
      </c>
      <c r="Q662" s="2">
        <v>2112</v>
      </c>
    </row>
    <row r="663" spans="1:17" x14ac:dyDescent="0.2">
      <c r="A663" s="1">
        <v>43435</v>
      </c>
      <c r="B663">
        <v>49368</v>
      </c>
      <c r="C663" t="s">
        <v>80</v>
      </c>
      <c r="D663" t="s">
        <v>41</v>
      </c>
      <c r="E663" t="s">
        <v>62</v>
      </c>
      <c r="F663" s="5">
        <v>24</v>
      </c>
      <c r="G663" t="str">
        <f>IF(Data[[#This Row],[Age]]&lt;25,"Under 25",IF(Data[[#This Row],[Age]]&lt;35,"25–34",IF(Data[[#This Row],[Age]]&lt;45,"35–44",IF(Data[[#This Row],[Age]]&lt;55,"45–54","55+"))))</f>
        <v>Under 25</v>
      </c>
      <c r="H663" t="s">
        <v>34</v>
      </c>
      <c r="I663" t="s">
        <v>18</v>
      </c>
      <c r="J663" t="s">
        <v>26</v>
      </c>
      <c r="K663" s="1">
        <v>41227</v>
      </c>
      <c r="M663" s="1" t="str">
        <f>IF(ISBLANK(Data[[#This Row],[EndDate]]),"Active","InActive")</f>
        <v>Active</v>
      </c>
      <c r="N663" t="s">
        <v>20</v>
      </c>
      <c r="O663" t="s">
        <v>21</v>
      </c>
      <c r="P663" t="s">
        <v>40</v>
      </c>
      <c r="Q663" s="2">
        <v>9936</v>
      </c>
    </row>
    <row r="664" spans="1:17" x14ac:dyDescent="0.2">
      <c r="A664" s="1">
        <v>43435</v>
      </c>
      <c r="B664">
        <v>50472</v>
      </c>
      <c r="C664" t="s">
        <v>79</v>
      </c>
      <c r="D664" t="s">
        <v>29</v>
      </c>
      <c r="E664" t="s">
        <v>33</v>
      </c>
      <c r="F664" s="5">
        <v>24</v>
      </c>
      <c r="G664" t="str">
        <f>IF(Data[[#This Row],[Age]]&lt;25,"Under 25",IF(Data[[#This Row],[Age]]&lt;35,"25–34",IF(Data[[#This Row],[Age]]&lt;45,"35–44",IF(Data[[#This Row],[Age]]&lt;55,"45–54","55+"))))</f>
        <v>Under 25</v>
      </c>
      <c r="H664" t="s">
        <v>46</v>
      </c>
      <c r="I664" t="s">
        <v>18</v>
      </c>
      <c r="J664" t="s">
        <v>26</v>
      </c>
      <c r="K664" s="1">
        <v>40799</v>
      </c>
      <c r="M664" s="1" t="str">
        <f>IF(ISBLANK(Data[[#This Row],[EndDate]]),"Active","InActive")</f>
        <v>Active</v>
      </c>
      <c r="N664" t="s">
        <v>20</v>
      </c>
      <c r="O664" t="s">
        <v>21</v>
      </c>
      <c r="P664" t="s">
        <v>40</v>
      </c>
      <c r="Q664" s="2">
        <v>4608</v>
      </c>
    </row>
    <row r="665" spans="1:17" x14ac:dyDescent="0.2">
      <c r="A665" s="1">
        <v>43435</v>
      </c>
      <c r="B665">
        <v>53874</v>
      </c>
      <c r="C665" t="s">
        <v>79</v>
      </c>
      <c r="D665" t="s">
        <v>23</v>
      </c>
      <c r="E665" t="s">
        <v>24</v>
      </c>
      <c r="F665" s="5">
        <v>24</v>
      </c>
      <c r="G665" t="str">
        <f>IF(Data[[#This Row],[Age]]&lt;25,"Under 25",IF(Data[[#This Row],[Age]]&lt;35,"25–34",IF(Data[[#This Row],[Age]]&lt;45,"35–44",IF(Data[[#This Row],[Age]]&lt;55,"45–54","55+"))))</f>
        <v>Under 25</v>
      </c>
      <c r="H665" t="s">
        <v>31</v>
      </c>
      <c r="I665" t="s">
        <v>18</v>
      </c>
      <c r="J665" t="s">
        <v>26</v>
      </c>
      <c r="K665" s="1">
        <v>41579</v>
      </c>
      <c r="M665" s="1" t="str">
        <f>IF(ISBLANK(Data[[#This Row],[EndDate]]),"Active","InActive")</f>
        <v>Active</v>
      </c>
      <c r="N665" t="s">
        <v>20</v>
      </c>
      <c r="O665" t="s">
        <v>21</v>
      </c>
      <c r="P665" t="s">
        <v>40</v>
      </c>
      <c r="Q665" s="2">
        <v>4512</v>
      </c>
    </row>
    <row r="666" spans="1:17" x14ac:dyDescent="0.2">
      <c r="A666" s="1">
        <v>43435</v>
      </c>
      <c r="B666">
        <v>53970</v>
      </c>
      <c r="C666" t="s">
        <v>79</v>
      </c>
      <c r="D666" t="s">
        <v>47</v>
      </c>
      <c r="E666" t="s">
        <v>64</v>
      </c>
      <c r="F666" s="5">
        <v>24</v>
      </c>
      <c r="G666" t="str">
        <f>IF(Data[[#This Row],[Age]]&lt;25,"Under 25",IF(Data[[#This Row],[Age]]&lt;35,"25–34",IF(Data[[#This Row],[Age]]&lt;45,"35–44",IF(Data[[#This Row],[Age]]&lt;55,"45–54","55+"))))</f>
        <v>Under 25</v>
      </c>
      <c r="H666" t="s">
        <v>59</v>
      </c>
      <c r="I666" t="s">
        <v>18</v>
      </c>
      <c r="J666" t="s">
        <v>26</v>
      </c>
      <c r="K666" s="1">
        <v>41921</v>
      </c>
      <c r="M666" s="1" t="str">
        <f>IF(ISBLANK(Data[[#This Row],[EndDate]]),"Active","InActive")</f>
        <v>Active</v>
      </c>
      <c r="N666" t="s">
        <v>20</v>
      </c>
      <c r="O666" t="s">
        <v>21</v>
      </c>
      <c r="P666" t="s">
        <v>40</v>
      </c>
      <c r="Q666" s="2">
        <v>3780</v>
      </c>
    </row>
    <row r="667" spans="1:17" x14ac:dyDescent="0.2">
      <c r="A667" s="1">
        <v>43435</v>
      </c>
      <c r="B667">
        <v>55514</v>
      </c>
      <c r="C667" t="s">
        <v>80</v>
      </c>
      <c r="D667" t="s">
        <v>27</v>
      </c>
      <c r="E667" t="s">
        <v>28</v>
      </c>
      <c r="F667" s="5">
        <v>24</v>
      </c>
      <c r="G667" t="str">
        <f>IF(Data[[#This Row],[Age]]&lt;25,"Under 25",IF(Data[[#This Row],[Age]]&lt;35,"25–34",IF(Data[[#This Row],[Age]]&lt;45,"35–44",IF(Data[[#This Row],[Age]]&lt;55,"45–54","55+"))))</f>
        <v>Under 25</v>
      </c>
      <c r="H667" t="s">
        <v>31</v>
      </c>
      <c r="I667" t="s">
        <v>18</v>
      </c>
      <c r="J667" t="s">
        <v>26</v>
      </c>
      <c r="K667" s="1">
        <v>40648</v>
      </c>
      <c r="M667" s="1" t="str">
        <f>IF(ISBLANK(Data[[#This Row],[EndDate]]),"Active","InActive")</f>
        <v>Active</v>
      </c>
      <c r="N667" t="s">
        <v>20</v>
      </c>
      <c r="O667" t="s">
        <v>21</v>
      </c>
      <c r="P667" t="s">
        <v>40</v>
      </c>
      <c r="Q667" s="2">
        <v>6120</v>
      </c>
    </row>
    <row r="668" spans="1:17" x14ac:dyDescent="0.2">
      <c r="A668" s="1">
        <v>42705</v>
      </c>
      <c r="B668">
        <v>4138</v>
      </c>
      <c r="C668" t="s">
        <v>80</v>
      </c>
      <c r="D668" t="s">
        <v>47</v>
      </c>
      <c r="E668" t="s">
        <v>73</v>
      </c>
      <c r="F668" s="5">
        <v>24</v>
      </c>
      <c r="G668" t="str">
        <f>IF(Data[[#This Row],[Age]]&lt;25,"Under 25",IF(Data[[#This Row],[Age]]&lt;35,"25–34",IF(Data[[#This Row],[Age]]&lt;45,"35–44",IF(Data[[#This Row],[Age]]&lt;55,"45–54","55+"))))</f>
        <v>Under 25</v>
      </c>
      <c r="H668" t="s">
        <v>34</v>
      </c>
      <c r="I668" t="s">
        <v>18</v>
      </c>
      <c r="J668" t="s">
        <v>35</v>
      </c>
      <c r="K668" s="1">
        <v>41103</v>
      </c>
      <c r="M668" s="1" t="str">
        <f>IF(ISBLANK(Data[[#This Row],[EndDate]]),"Active","InActive")</f>
        <v>Active</v>
      </c>
      <c r="N668" t="s">
        <v>20</v>
      </c>
      <c r="O668" t="s">
        <v>21</v>
      </c>
      <c r="P668" t="s">
        <v>22</v>
      </c>
      <c r="Q668" s="2">
        <v>2448</v>
      </c>
    </row>
    <row r="669" spans="1:17" x14ac:dyDescent="0.2">
      <c r="A669" s="1">
        <v>42705</v>
      </c>
      <c r="B669">
        <v>49968</v>
      </c>
      <c r="C669" t="s">
        <v>79</v>
      </c>
      <c r="D669" t="s">
        <v>29</v>
      </c>
      <c r="E669" t="s">
        <v>36</v>
      </c>
      <c r="F669" s="5">
        <v>24</v>
      </c>
      <c r="G669" t="str">
        <f>IF(Data[[#This Row],[Age]]&lt;25,"Under 25",IF(Data[[#This Row],[Age]]&lt;35,"25–34",IF(Data[[#This Row],[Age]]&lt;45,"35–44",IF(Data[[#This Row],[Age]]&lt;55,"45–54","55+"))))</f>
        <v>Under 25</v>
      </c>
      <c r="H669" t="s">
        <v>46</v>
      </c>
      <c r="I669" t="s">
        <v>18</v>
      </c>
      <c r="J669" t="s">
        <v>35</v>
      </c>
      <c r="K669" s="1">
        <v>40933</v>
      </c>
      <c r="M669" s="1" t="str">
        <f>IF(ISBLANK(Data[[#This Row],[EndDate]]),"Active","InActive")</f>
        <v>Active</v>
      </c>
      <c r="N669" t="s">
        <v>20</v>
      </c>
      <c r="O669" t="s">
        <v>21</v>
      </c>
      <c r="P669" t="s">
        <v>22</v>
      </c>
      <c r="Q669" s="2">
        <v>5340</v>
      </c>
    </row>
    <row r="670" spans="1:17" x14ac:dyDescent="0.2">
      <c r="A670" s="1">
        <v>42705</v>
      </c>
      <c r="B670">
        <v>102870</v>
      </c>
      <c r="C670" t="s">
        <v>79</v>
      </c>
      <c r="D670" t="s">
        <v>15</v>
      </c>
      <c r="E670" t="s">
        <v>16</v>
      </c>
      <c r="F670" s="5">
        <v>24</v>
      </c>
      <c r="G670" t="str">
        <f>IF(Data[[#This Row],[Age]]&lt;25,"Under 25",IF(Data[[#This Row],[Age]]&lt;35,"25–34",IF(Data[[#This Row],[Age]]&lt;45,"35–44",IF(Data[[#This Row],[Age]]&lt;55,"45–54","55+"))))</f>
        <v>Under 25</v>
      </c>
      <c r="H670" t="s">
        <v>46</v>
      </c>
      <c r="I670" t="s">
        <v>18</v>
      </c>
      <c r="J670" t="s">
        <v>35</v>
      </c>
      <c r="K670" s="1">
        <v>40752</v>
      </c>
      <c r="M670" s="1" t="str">
        <f>IF(ISBLANK(Data[[#This Row],[EndDate]]),"Active","InActive")</f>
        <v>Active</v>
      </c>
      <c r="N670" t="s">
        <v>20</v>
      </c>
      <c r="O670" t="s">
        <v>21</v>
      </c>
      <c r="P670" t="s">
        <v>22</v>
      </c>
      <c r="Q670" s="2">
        <v>8352</v>
      </c>
    </row>
    <row r="671" spans="1:17" x14ac:dyDescent="0.2">
      <c r="A671" s="1">
        <v>42705</v>
      </c>
      <c r="B671">
        <v>118718</v>
      </c>
      <c r="C671" t="s">
        <v>79</v>
      </c>
      <c r="D671" t="s">
        <v>15</v>
      </c>
      <c r="E671" t="s">
        <v>16</v>
      </c>
      <c r="F671" s="5">
        <v>24</v>
      </c>
      <c r="G671" t="str">
        <f>IF(Data[[#This Row],[Age]]&lt;25,"Under 25",IF(Data[[#This Row],[Age]]&lt;35,"25–34",IF(Data[[#This Row],[Age]]&lt;45,"35–44",IF(Data[[#This Row],[Age]]&lt;55,"45–54","55+"))))</f>
        <v>Under 25</v>
      </c>
      <c r="H671" t="s">
        <v>25</v>
      </c>
      <c r="I671" t="s">
        <v>18</v>
      </c>
      <c r="J671" t="s">
        <v>35</v>
      </c>
      <c r="K671" s="1">
        <v>41170</v>
      </c>
      <c r="M671" s="1" t="str">
        <f>IF(ISBLANK(Data[[#This Row],[EndDate]]),"Active","InActive")</f>
        <v>Active</v>
      </c>
      <c r="N671" t="s">
        <v>20</v>
      </c>
      <c r="O671" t="s">
        <v>21</v>
      </c>
      <c r="P671" t="s">
        <v>22</v>
      </c>
      <c r="Q671" s="2">
        <v>2856</v>
      </c>
    </row>
    <row r="672" spans="1:17" x14ac:dyDescent="0.2">
      <c r="A672" s="1">
        <v>43070</v>
      </c>
      <c r="B672">
        <v>4340</v>
      </c>
      <c r="C672" t="s">
        <v>79</v>
      </c>
      <c r="D672" t="s">
        <v>29</v>
      </c>
      <c r="E672" t="s">
        <v>33</v>
      </c>
      <c r="F672" s="5">
        <v>24</v>
      </c>
      <c r="G672" t="str">
        <f>IF(Data[[#This Row],[Age]]&lt;25,"Under 25",IF(Data[[#This Row],[Age]]&lt;35,"25–34",IF(Data[[#This Row],[Age]]&lt;45,"35–44",IF(Data[[#This Row],[Age]]&lt;55,"45–54","55+"))))</f>
        <v>Under 25</v>
      </c>
      <c r="H672" t="s">
        <v>46</v>
      </c>
      <c r="I672" t="s">
        <v>18</v>
      </c>
      <c r="J672" t="s">
        <v>35</v>
      </c>
      <c r="K672" s="1">
        <v>41214</v>
      </c>
      <c r="M672" s="1" t="str">
        <f>IF(ISBLANK(Data[[#This Row],[EndDate]]),"Active","InActive")</f>
        <v>Active</v>
      </c>
      <c r="N672" t="s">
        <v>20</v>
      </c>
      <c r="O672" t="s">
        <v>21</v>
      </c>
      <c r="P672" t="s">
        <v>32</v>
      </c>
      <c r="Q672" s="2">
        <v>6336</v>
      </c>
    </row>
    <row r="673" spans="1:17" x14ac:dyDescent="0.2">
      <c r="A673" s="1">
        <v>43070</v>
      </c>
      <c r="B673">
        <v>10742</v>
      </c>
      <c r="C673" t="s">
        <v>79</v>
      </c>
      <c r="D673" t="s">
        <v>52</v>
      </c>
      <c r="E673" t="s">
        <v>53</v>
      </c>
      <c r="F673" s="5">
        <v>24</v>
      </c>
      <c r="G673" t="str">
        <f>IF(Data[[#This Row],[Age]]&lt;25,"Under 25",IF(Data[[#This Row],[Age]]&lt;35,"25–34",IF(Data[[#This Row],[Age]]&lt;45,"35–44",IF(Data[[#This Row],[Age]]&lt;55,"45–54","55+"))))</f>
        <v>Under 25</v>
      </c>
      <c r="H673" t="s">
        <v>17</v>
      </c>
      <c r="I673" t="s">
        <v>18</v>
      </c>
      <c r="J673" t="s">
        <v>35</v>
      </c>
      <c r="K673" s="1">
        <v>41080</v>
      </c>
      <c r="M673" s="1" t="str">
        <f>IF(ISBLANK(Data[[#This Row],[EndDate]]),"Active","InActive")</f>
        <v>Active</v>
      </c>
      <c r="N673" t="s">
        <v>20</v>
      </c>
      <c r="O673" t="s">
        <v>21</v>
      </c>
      <c r="P673" t="s">
        <v>32</v>
      </c>
      <c r="Q673" s="2">
        <v>11196</v>
      </c>
    </row>
    <row r="674" spans="1:17" x14ac:dyDescent="0.2">
      <c r="A674" s="1">
        <v>43070</v>
      </c>
      <c r="B674">
        <v>41510</v>
      </c>
      <c r="C674" t="s">
        <v>80</v>
      </c>
      <c r="D674" t="s">
        <v>41</v>
      </c>
      <c r="E674" t="s">
        <v>42</v>
      </c>
      <c r="F674" s="5">
        <v>24</v>
      </c>
      <c r="G674" t="str">
        <f>IF(Data[[#This Row],[Age]]&lt;25,"Under 25",IF(Data[[#This Row],[Age]]&lt;35,"25–34",IF(Data[[#This Row],[Age]]&lt;45,"35–44",IF(Data[[#This Row],[Age]]&lt;55,"45–54","55+"))))</f>
        <v>Under 25</v>
      </c>
      <c r="H674" t="s">
        <v>49</v>
      </c>
      <c r="I674" t="s">
        <v>18</v>
      </c>
      <c r="J674" t="s">
        <v>35</v>
      </c>
      <c r="K674" s="1">
        <v>40842</v>
      </c>
      <c r="L674" s="1">
        <v>40942</v>
      </c>
      <c r="M674" s="1" t="str">
        <f>IF(ISBLANK(Data[[#This Row],[EndDate]]),"Active","InActive")</f>
        <v>InActive</v>
      </c>
      <c r="N674" t="s">
        <v>20</v>
      </c>
      <c r="O674" t="s">
        <v>21</v>
      </c>
      <c r="P674" t="s">
        <v>32</v>
      </c>
      <c r="Q674" s="2">
        <v>7656</v>
      </c>
    </row>
    <row r="675" spans="1:17" x14ac:dyDescent="0.2">
      <c r="A675" s="1">
        <v>43070</v>
      </c>
      <c r="B675">
        <v>54304</v>
      </c>
      <c r="C675" t="s">
        <v>80</v>
      </c>
      <c r="D675" t="s">
        <v>27</v>
      </c>
      <c r="E675" t="s">
        <v>74</v>
      </c>
      <c r="F675" s="5">
        <v>24</v>
      </c>
      <c r="G675" t="str">
        <f>IF(Data[[#This Row],[Age]]&lt;25,"Under 25",IF(Data[[#This Row],[Age]]&lt;35,"25–34",IF(Data[[#This Row],[Age]]&lt;45,"35–44",IF(Data[[#This Row],[Age]]&lt;55,"45–54","55+"))))</f>
        <v>Under 25</v>
      </c>
      <c r="H675" t="s">
        <v>34</v>
      </c>
      <c r="I675" t="s">
        <v>18</v>
      </c>
      <c r="J675" t="s">
        <v>35</v>
      </c>
      <c r="K675" s="1">
        <v>40702</v>
      </c>
      <c r="M675" s="1" t="str">
        <f>IF(ISBLANK(Data[[#This Row],[EndDate]]),"Active","InActive")</f>
        <v>Active</v>
      </c>
      <c r="N675" t="s">
        <v>20</v>
      </c>
      <c r="O675" t="s">
        <v>21</v>
      </c>
      <c r="P675" t="s">
        <v>32</v>
      </c>
      <c r="Q675" s="2">
        <v>5964</v>
      </c>
    </row>
    <row r="676" spans="1:17" x14ac:dyDescent="0.2">
      <c r="A676" s="1">
        <v>43435</v>
      </c>
      <c r="B676">
        <v>42484</v>
      </c>
      <c r="C676" t="s">
        <v>79</v>
      </c>
      <c r="D676" t="s">
        <v>41</v>
      </c>
      <c r="E676" t="s">
        <v>42</v>
      </c>
      <c r="F676" s="5">
        <v>24</v>
      </c>
      <c r="G676" t="str">
        <f>IF(Data[[#This Row],[Age]]&lt;25,"Under 25",IF(Data[[#This Row],[Age]]&lt;35,"25–34",IF(Data[[#This Row],[Age]]&lt;45,"35–44",IF(Data[[#This Row],[Age]]&lt;55,"45–54","55+"))))</f>
        <v>Under 25</v>
      </c>
      <c r="H676" t="s">
        <v>31</v>
      </c>
      <c r="I676" t="s">
        <v>18</v>
      </c>
      <c r="J676" t="s">
        <v>35</v>
      </c>
      <c r="K676" s="1">
        <v>41803</v>
      </c>
      <c r="M676" s="1" t="str">
        <f>IF(ISBLANK(Data[[#This Row],[EndDate]]),"Active","InActive")</f>
        <v>Active</v>
      </c>
      <c r="N676" t="s">
        <v>20</v>
      </c>
      <c r="O676" t="s">
        <v>21</v>
      </c>
      <c r="P676" t="s">
        <v>40</v>
      </c>
      <c r="Q676" s="2">
        <v>8316</v>
      </c>
    </row>
    <row r="677" spans="1:17" x14ac:dyDescent="0.2">
      <c r="A677" s="1">
        <v>43435</v>
      </c>
      <c r="B677">
        <v>42490</v>
      </c>
      <c r="C677" t="s">
        <v>80</v>
      </c>
      <c r="D677" t="s">
        <v>47</v>
      </c>
      <c r="E677" t="s">
        <v>48</v>
      </c>
      <c r="F677" s="5">
        <v>24</v>
      </c>
      <c r="G677" t="str">
        <f>IF(Data[[#This Row],[Age]]&lt;25,"Under 25",IF(Data[[#This Row],[Age]]&lt;35,"25–34",IF(Data[[#This Row],[Age]]&lt;45,"35–44",IF(Data[[#This Row],[Age]]&lt;55,"45–54","55+"))))</f>
        <v>Under 25</v>
      </c>
      <c r="H677" t="s">
        <v>25</v>
      </c>
      <c r="I677" t="s">
        <v>18</v>
      </c>
      <c r="J677" t="s">
        <v>35</v>
      </c>
      <c r="K677" s="1">
        <v>41809</v>
      </c>
      <c r="M677" s="1" t="str">
        <f>IF(ISBLANK(Data[[#This Row],[EndDate]]),"Active","InActive")</f>
        <v>Active</v>
      </c>
      <c r="N677" t="s">
        <v>20</v>
      </c>
      <c r="O677" t="s">
        <v>21</v>
      </c>
      <c r="P677" t="s">
        <v>40</v>
      </c>
      <c r="Q677" s="2">
        <v>4644</v>
      </c>
    </row>
    <row r="678" spans="1:17" x14ac:dyDescent="0.2">
      <c r="A678" s="1">
        <v>43435</v>
      </c>
      <c r="B678">
        <v>42498</v>
      </c>
      <c r="C678" t="s">
        <v>80</v>
      </c>
      <c r="D678" t="s">
        <v>50</v>
      </c>
      <c r="E678" t="s">
        <v>63</v>
      </c>
      <c r="F678" s="5">
        <v>24</v>
      </c>
      <c r="G678" t="str">
        <f>IF(Data[[#This Row],[Age]]&lt;25,"Under 25",IF(Data[[#This Row],[Age]]&lt;35,"25–34",IF(Data[[#This Row],[Age]]&lt;45,"35–44",IF(Data[[#This Row],[Age]]&lt;55,"45–54","55+"))))</f>
        <v>Under 25</v>
      </c>
      <c r="H678" t="s">
        <v>25</v>
      </c>
      <c r="I678" t="s">
        <v>18</v>
      </c>
      <c r="J678" t="s">
        <v>35</v>
      </c>
      <c r="K678" s="1">
        <v>41794</v>
      </c>
      <c r="M678" s="1" t="str">
        <f>IF(ISBLANK(Data[[#This Row],[EndDate]]),"Active","InActive")</f>
        <v>Active</v>
      </c>
      <c r="N678" t="s">
        <v>20</v>
      </c>
      <c r="O678" t="s">
        <v>21</v>
      </c>
      <c r="P678" t="s">
        <v>40</v>
      </c>
      <c r="Q678" s="2">
        <v>1896</v>
      </c>
    </row>
    <row r="679" spans="1:17" x14ac:dyDescent="0.2">
      <c r="A679" s="1">
        <v>43435</v>
      </c>
      <c r="B679">
        <v>42804</v>
      </c>
      <c r="C679" t="s">
        <v>79</v>
      </c>
      <c r="D679" t="s">
        <v>47</v>
      </c>
      <c r="E679" t="s">
        <v>48</v>
      </c>
      <c r="F679" s="5">
        <v>24</v>
      </c>
      <c r="G679" t="str">
        <f>IF(Data[[#This Row],[Age]]&lt;25,"Under 25",IF(Data[[#This Row],[Age]]&lt;35,"25–34",IF(Data[[#This Row],[Age]]&lt;45,"35–44",IF(Data[[#This Row],[Age]]&lt;55,"45–54","55+"))))</f>
        <v>Under 25</v>
      </c>
      <c r="H679" t="s">
        <v>25</v>
      </c>
      <c r="I679" t="s">
        <v>18</v>
      </c>
      <c r="J679" t="s">
        <v>35</v>
      </c>
      <c r="K679" s="1">
        <v>41159</v>
      </c>
      <c r="M679" s="1" t="str">
        <f>IF(ISBLANK(Data[[#This Row],[EndDate]]),"Active","InActive")</f>
        <v>Active</v>
      </c>
      <c r="N679" t="s">
        <v>20</v>
      </c>
      <c r="O679" t="s">
        <v>21</v>
      </c>
      <c r="P679" t="s">
        <v>40</v>
      </c>
      <c r="Q679" s="2">
        <v>3276</v>
      </c>
    </row>
    <row r="680" spans="1:17" x14ac:dyDescent="0.2">
      <c r="A680" s="1">
        <v>43435</v>
      </c>
      <c r="B680">
        <v>42924</v>
      </c>
      <c r="C680" t="s">
        <v>79</v>
      </c>
      <c r="D680" t="s">
        <v>52</v>
      </c>
      <c r="E680" t="s">
        <v>69</v>
      </c>
      <c r="F680" s="5">
        <v>24</v>
      </c>
      <c r="G680" t="str">
        <f>IF(Data[[#This Row],[Age]]&lt;25,"Under 25",IF(Data[[#This Row],[Age]]&lt;35,"25–34",IF(Data[[#This Row],[Age]]&lt;45,"35–44",IF(Data[[#This Row],[Age]]&lt;55,"45–54","55+"))))</f>
        <v>Under 25</v>
      </c>
      <c r="H680" t="s">
        <v>34</v>
      </c>
      <c r="I680" t="s">
        <v>18</v>
      </c>
      <c r="J680" t="s">
        <v>35</v>
      </c>
      <c r="K680" s="1">
        <v>40717</v>
      </c>
      <c r="M680" s="1" t="str">
        <f>IF(ISBLANK(Data[[#This Row],[EndDate]]),"Active","InActive")</f>
        <v>Active</v>
      </c>
      <c r="N680" t="s">
        <v>20</v>
      </c>
      <c r="O680" t="s">
        <v>21</v>
      </c>
      <c r="P680" t="s">
        <v>40</v>
      </c>
      <c r="Q680" s="2">
        <v>3660</v>
      </c>
    </row>
    <row r="681" spans="1:17" x14ac:dyDescent="0.2">
      <c r="A681" s="1">
        <v>43435</v>
      </c>
      <c r="B681">
        <v>55776</v>
      </c>
      <c r="C681" t="s">
        <v>79</v>
      </c>
      <c r="D681" t="s">
        <v>23</v>
      </c>
      <c r="E681" t="s">
        <v>71</v>
      </c>
      <c r="F681" s="5">
        <v>24</v>
      </c>
      <c r="G681" t="str">
        <f>IF(Data[[#This Row],[Age]]&lt;25,"Under 25",IF(Data[[#This Row],[Age]]&lt;35,"25–34",IF(Data[[#This Row],[Age]]&lt;45,"35–44",IF(Data[[#This Row],[Age]]&lt;55,"45–54","55+"))))</f>
        <v>Under 25</v>
      </c>
      <c r="H681" t="s">
        <v>34</v>
      </c>
      <c r="I681" t="s">
        <v>18</v>
      </c>
      <c r="J681" t="s">
        <v>35</v>
      </c>
      <c r="K681" s="1">
        <v>40940</v>
      </c>
      <c r="M681" s="1" t="str">
        <f>IF(ISBLANK(Data[[#This Row],[EndDate]]),"Active","InActive")</f>
        <v>Active</v>
      </c>
      <c r="N681" t="s">
        <v>20</v>
      </c>
      <c r="O681" t="s">
        <v>21</v>
      </c>
      <c r="P681" t="s">
        <v>40</v>
      </c>
      <c r="Q681" s="2">
        <v>4596</v>
      </c>
    </row>
    <row r="682" spans="1:17" x14ac:dyDescent="0.2">
      <c r="A682" s="1">
        <v>42705</v>
      </c>
      <c r="B682">
        <v>1924</v>
      </c>
      <c r="C682" t="s">
        <v>80</v>
      </c>
      <c r="D682" t="s">
        <v>41</v>
      </c>
      <c r="E682" t="s">
        <v>42</v>
      </c>
      <c r="F682" s="5">
        <v>24</v>
      </c>
      <c r="G682" t="str">
        <f>IF(Data[[#This Row],[Age]]&lt;25,"Under 25",IF(Data[[#This Row],[Age]]&lt;35,"25–34",IF(Data[[#This Row],[Age]]&lt;45,"35–44",IF(Data[[#This Row],[Age]]&lt;55,"45–54","55+"))))</f>
        <v>Under 25</v>
      </c>
      <c r="H682" t="s">
        <v>17</v>
      </c>
      <c r="I682" t="s">
        <v>18</v>
      </c>
      <c r="J682" t="s">
        <v>37</v>
      </c>
      <c r="K682" s="1">
        <v>40913</v>
      </c>
      <c r="M682" s="1" t="str">
        <f>IF(ISBLANK(Data[[#This Row],[EndDate]]),"Active","InActive")</f>
        <v>Active</v>
      </c>
      <c r="N682" t="s">
        <v>20</v>
      </c>
      <c r="O682" t="s">
        <v>21</v>
      </c>
      <c r="P682" t="s">
        <v>22</v>
      </c>
      <c r="Q682" s="2">
        <v>6708</v>
      </c>
    </row>
    <row r="683" spans="1:17" x14ac:dyDescent="0.2">
      <c r="A683" s="1">
        <v>42705</v>
      </c>
      <c r="B683">
        <v>1954</v>
      </c>
      <c r="C683" t="s">
        <v>79</v>
      </c>
      <c r="D683" t="s">
        <v>52</v>
      </c>
      <c r="E683" t="s">
        <v>69</v>
      </c>
      <c r="F683" s="5">
        <v>24</v>
      </c>
      <c r="G683" t="str">
        <f>IF(Data[[#This Row],[Age]]&lt;25,"Under 25",IF(Data[[#This Row],[Age]]&lt;35,"25–34",IF(Data[[#This Row],[Age]]&lt;45,"35–44",IF(Data[[#This Row],[Age]]&lt;55,"45–54","55+"))))</f>
        <v>Under 25</v>
      </c>
      <c r="H683" t="s">
        <v>34</v>
      </c>
      <c r="I683" t="s">
        <v>18</v>
      </c>
      <c r="J683" t="s">
        <v>37</v>
      </c>
      <c r="K683" s="1">
        <v>41041</v>
      </c>
      <c r="M683" s="1" t="str">
        <f>IF(ISBLANK(Data[[#This Row],[EndDate]]),"Active","InActive")</f>
        <v>Active</v>
      </c>
      <c r="N683" t="s">
        <v>20</v>
      </c>
      <c r="O683" t="s">
        <v>21</v>
      </c>
      <c r="P683" t="s">
        <v>22</v>
      </c>
      <c r="Q683" s="2">
        <v>5160</v>
      </c>
    </row>
    <row r="684" spans="1:17" x14ac:dyDescent="0.2">
      <c r="A684" s="1">
        <v>42705</v>
      </c>
      <c r="B684">
        <v>5242</v>
      </c>
      <c r="C684" t="s">
        <v>79</v>
      </c>
      <c r="D684" t="s">
        <v>15</v>
      </c>
      <c r="E684" t="s">
        <v>70</v>
      </c>
      <c r="F684" s="5">
        <v>24</v>
      </c>
      <c r="G684" t="str">
        <f>IF(Data[[#This Row],[Age]]&lt;25,"Under 25",IF(Data[[#This Row],[Age]]&lt;35,"25–34",IF(Data[[#This Row],[Age]]&lt;45,"35–44",IF(Data[[#This Row],[Age]]&lt;55,"45–54","55+"))))</f>
        <v>Under 25</v>
      </c>
      <c r="H684" t="s">
        <v>31</v>
      </c>
      <c r="I684" t="s">
        <v>18</v>
      </c>
      <c r="J684" t="s">
        <v>37</v>
      </c>
      <c r="K684" s="1">
        <v>41025</v>
      </c>
      <c r="M684" s="1" t="str">
        <f>IF(ISBLANK(Data[[#This Row],[EndDate]]),"Active","InActive")</f>
        <v>Active</v>
      </c>
      <c r="N684" t="s">
        <v>20</v>
      </c>
      <c r="O684" t="s">
        <v>21</v>
      </c>
      <c r="P684" t="s">
        <v>22</v>
      </c>
      <c r="Q684" s="2">
        <v>6228</v>
      </c>
    </row>
    <row r="685" spans="1:17" x14ac:dyDescent="0.2">
      <c r="A685" s="1">
        <v>42705</v>
      </c>
      <c r="B685">
        <v>43538</v>
      </c>
      <c r="C685" t="s">
        <v>80</v>
      </c>
      <c r="D685" t="s">
        <v>27</v>
      </c>
      <c r="E685" t="s">
        <v>72</v>
      </c>
      <c r="F685" s="5">
        <v>24</v>
      </c>
      <c r="G685" t="str">
        <f>IF(Data[[#This Row],[Age]]&lt;25,"Under 25",IF(Data[[#This Row],[Age]]&lt;35,"25–34",IF(Data[[#This Row],[Age]]&lt;45,"35–44",IF(Data[[#This Row],[Age]]&lt;55,"45–54","55+"))))</f>
        <v>Under 25</v>
      </c>
      <c r="H685" t="s">
        <v>59</v>
      </c>
      <c r="I685" t="s">
        <v>18</v>
      </c>
      <c r="J685" t="s">
        <v>37</v>
      </c>
      <c r="K685" s="1">
        <v>39611</v>
      </c>
      <c r="M685" s="1" t="str">
        <f>IF(ISBLANK(Data[[#This Row],[EndDate]]),"Active","InActive")</f>
        <v>Active</v>
      </c>
      <c r="N685" t="s">
        <v>20</v>
      </c>
      <c r="O685" t="s">
        <v>21</v>
      </c>
      <c r="P685" t="s">
        <v>22</v>
      </c>
      <c r="Q685" s="2">
        <v>6348</v>
      </c>
    </row>
    <row r="686" spans="1:17" x14ac:dyDescent="0.2">
      <c r="A686" s="1">
        <v>42705</v>
      </c>
      <c r="B686">
        <v>52994</v>
      </c>
      <c r="C686" t="s">
        <v>79</v>
      </c>
      <c r="D686" t="s">
        <v>41</v>
      </c>
      <c r="E686" t="s">
        <v>42</v>
      </c>
      <c r="F686" s="5">
        <v>24</v>
      </c>
      <c r="G686" t="str">
        <f>IF(Data[[#This Row],[Age]]&lt;25,"Under 25",IF(Data[[#This Row],[Age]]&lt;35,"25–34",IF(Data[[#This Row],[Age]]&lt;45,"35–44",IF(Data[[#This Row],[Age]]&lt;55,"45–54","55+"))))</f>
        <v>Under 25</v>
      </c>
      <c r="H686" t="s">
        <v>34</v>
      </c>
      <c r="I686" t="s">
        <v>18</v>
      </c>
      <c r="J686" t="s">
        <v>37</v>
      </c>
      <c r="K686" s="1">
        <v>40820</v>
      </c>
      <c r="M686" s="1" t="str">
        <f>IF(ISBLANK(Data[[#This Row],[EndDate]]),"Active","InActive")</f>
        <v>Active</v>
      </c>
      <c r="N686" t="s">
        <v>20</v>
      </c>
      <c r="O686" t="s">
        <v>21</v>
      </c>
      <c r="P686" t="s">
        <v>22</v>
      </c>
      <c r="Q686" s="2">
        <v>10824</v>
      </c>
    </row>
    <row r="687" spans="1:17" x14ac:dyDescent="0.2">
      <c r="A687" s="1">
        <v>42705</v>
      </c>
      <c r="B687">
        <v>102250</v>
      </c>
      <c r="C687" t="s">
        <v>79</v>
      </c>
      <c r="D687" t="s">
        <v>29</v>
      </c>
      <c r="E687" t="s">
        <v>33</v>
      </c>
      <c r="F687" s="5">
        <v>24</v>
      </c>
      <c r="G687" t="str">
        <f>IF(Data[[#This Row],[Age]]&lt;25,"Under 25",IF(Data[[#This Row],[Age]]&lt;35,"25–34",IF(Data[[#This Row],[Age]]&lt;45,"35–44",IF(Data[[#This Row],[Age]]&lt;55,"45–54","55+"))))</f>
        <v>Under 25</v>
      </c>
      <c r="H687" t="s">
        <v>31</v>
      </c>
      <c r="I687" t="s">
        <v>18</v>
      </c>
      <c r="J687" t="s">
        <v>37</v>
      </c>
      <c r="K687" s="1">
        <v>39238</v>
      </c>
      <c r="M687" s="1" t="str">
        <f>IF(ISBLANK(Data[[#This Row],[EndDate]]),"Active","InActive")</f>
        <v>Active</v>
      </c>
      <c r="N687" t="s">
        <v>20</v>
      </c>
      <c r="O687" t="s">
        <v>21</v>
      </c>
      <c r="P687" t="s">
        <v>22</v>
      </c>
      <c r="Q687" s="2">
        <v>3312</v>
      </c>
    </row>
    <row r="688" spans="1:17" x14ac:dyDescent="0.2">
      <c r="A688" s="1">
        <v>43070</v>
      </c>
      <c r="B688">
        <v>1842</v>
      </c>
      <c r="C688" t="s">
        <v>79</v>
      </c>
      <c r="D688" t="s">
        <v>41</v>
      </c>
      <c r="E688" t="s">
        <v>42</v>
      </c>
      <c r="F688" s="5">
        <v>24</v>
      </c>
      <c r="G688" t="str">
        <f>IF(Data[[#This Row],[Age]]&lt;25,"Under 25",IF(Data[[#This Row],[Age]]&lt;35,"25–34",IF(Data[[#This Row],[Age]]&lt;45,"35–44",IF(Data[[#This Row],[Age]]&lt;55,"45–54","55+"))))</f>
        <v>Under 25</v>
      </c>
      <c r="H688" t="s">
        <v>34</v>
      </c>
      <c r="I688" t="s">
        <v>18</v>
      </c>
      <c r="J688" t="s">
        <v>37</v>
      </c>
      <c r="K688" s="1">
        <v>41507</v>
      </c>
      <c r="M688" s="1" t="str">
        <f>IF(ISBLANK(Data[[#This Row],[EndDate]]),"Active","InActive")</f>
        <v>Active</v>
      </c>
      <c r="N688" t="s">
        <v>20</v>
      </c>
      <c r="O688" t="s">
        <v>21</v>
      </c>
      <c r="P688" t="s">
        <v>32</v>
      </c>
      <c r="Q688" s="2">
        <v>7200</v>
      </c>
    </row>
    <row r="689" spans="1:17" x14ac:dyDescent="0.2">
      <c r="A689" s="1">
        <v>43070</v>
      </c>
      <c r="B689">
        <v>5202</v>
      </c>
      <c r="C689" t="s">
        <v>80</v>
      </c>
      <c r="D689" t="s">
        <v>50</v>
      </c>
      <c r="E689" t="s">
        <v>55</v>
      </c>
      <c r="F689" s="5">
        <v>24</v>
      </c>
      <c r="G689" t="str">
        <f>IF(Data[[#This Row],[Age]]&lt;25,"Under 25",IF(Data[[#This Row],[Age]]&lt;35,"25–34",IF(Data[[#This Row],[Age]]&lt;45,"35–44",IF(Data[[#This Row],[Age]]&lt;55,"45–54","55+"))))</f>
        <v>Under 25</v>
      </c>
      <c r="H689" t="s">
        <v>34</v>
      </c>
      <c r="I689" t="s">
        <v>18</v>
      </c>
      <c r="J689" t="s">
        <v>37</v>
      </c>
      <c r="K689" s="1">
        <v>40402</v>
      </c>
      <c r="M689" s="1" t="str">
        <f>IF(ISBLANK(Data[[#This Row],[EndDate]]),"Active","InActive")</f>
        <v>Active</v>
      </c>
      <c r="N689" t="s">
        <v>20</v>
      </c>
      <c r="O689" t="s">
        <v>21</v>
      </c>
      <c r="P689" t="s">
        <v>32</v>
      </c>
      <c r="Q689" s="2">
        <v>11340</v>
      </c>
    </row>
    <row r="690" spans="1:17" x14ac:dyDescent="0.2">
      <c r="A690" s="1">
        <v>43070</v>
      </c>
      <c r="B690">
        <v>7104</v>
      </c>
      <c r="C690" t="s">
        <v>79</v>
      </c>
      <c r="D690" t="s">
        <v>27</v>
      </c>
      <c r="E690" t="s">
        <v>72</v>
      </c>
      <c r="F690" s="5">
        <v>24</v>
      </c>
      <c r="G690" t="str">
        <f>IF(Data[[#This Row],[Age]]&lt;25,"Under 25",IF(Data[[#This Row],[Age]]&lt;35,"25–34",IF(Data[[#This Row],[Age]]&lt;45,"35–44",IF(Data[[#This Row],[Age]]&lt;55,"45–54","55+"))))</f>
        <v>Under 25</v>
      </c>
      <c r="H690" t="s">
        <v>34</v>
      </c>
      <c r="I690" t="s">
        <v>18</v>
      </c>
      <c r="J690" t="s">
        <v>37</v>
      </c>
      <c r="K690" s="1">
        <v>41353</v>
      </c>
      <c r="M690" s="1" t="str">
        <f>IF(ISBLANK(Data[[#This Row],[EndDate]]),"Active","InActive")</f>
        <v>Active</v>
      </c>
      <c r="N690" t="s">
        <v>20</v>
      </c>
      <c r="O690" t="s">
        <v>21</v>
      </c>
      <c r="P690" t="s">
        <v>32</v>
      </c>
      <c r="Q690" s="2">
        <v>2196</v>
      </c>
    </row>
    <row r="691" spans="1:17" x14ac:dyDescent="0.2">
      <c r="A691" s="1">
        <v>43070</v>
      </c>
      <c r="B691">
        <v>40436</v>
      </c>
      <c r="C691" t="s">
        <v>79</v>
      </c>
      <c r="D691" t="s">
        <v>47</v>
      </c>
      <c r="E691" t="s">
        <v>73</v>
      </c>
      <c r="F691" s="5">
        <v>24</v>
      </c>
      <c r="G691" t="str">
        <f>IF(Data[[#This Row],[Age]]&lt;25,"Under 25",IF(Data[[#This Row],[Age]]&lt;35,"25–34",IF(Data[[#This Row],[Age]]&lt;45,"35–44",IF(Data[[#This Row],[Age]]&lt;55,"45–54","55+"))))</f>
        <v>Under 25</v>
      </c>
      <c r="H691" t="s">
        <v>59</v>
      </c>
      <c r="I691" t="s">
        <v>18</v>
      </c>
      <c r="J691" t="s">
        <v>37</v>
      </c>
      <c r="K691" s="1">
        <v>39254</v>
      </c>
      <c r="M691" s="1" t="str">
        <f>IF(ISBLANK(Data[[#This Row],[EndDate]]),"Active","InActive")</f>
        <v>Active</v>
      </c>
      <c r="N691" t="s">
        <v>20</v>
      </c>
      <c r="O691" t="s">
        <v>21</v>
      </c>
      <c r="P691" t="s">
        <v>32</v>
      </c>
      <c r="Q691" s="2">
        <v>9156</v>
      </c>
    </row>
    <row r="692" spans="1:17" x14ac:dyDescent="0.2">
      <c r="A692" s="1">
        <v>43070</v>
      </c>
      <c r="B692">
        <v>43610</v>
      </c>
      <c r="C692" t="s">
        <v>80</v>
      </c>
      <c r="D692" t="s">
        <v>38</v>
      </c>
      <c r="E692" t="s">
        <v>39</v>
      </c>
      <c r="F692" s="5">
        <v>24</v>
      </c>
      <c r="G692" t="str">
        <f>IF(Data[[#This Row],[Age]]&lt;25,"Under 25",IF(Data[[#This Row],[Age]]&lt;35,"25–34",IF(Data[[#This Row],[Age]]&lt;45,"35–44",IF(Data[[#This Row],[Age]]&lt;55,"45–54","55+"))))</f>
        <v>Under 25</v>
      </c>
      <c r="H692" t="s">
        <v>59</v>
      </c>
      <c r="I692" t="s">
        <v>18</v>
      </c>
      <c r="J692" t="s">
        <v>37</v>
      </c>
      <c r="K692" s="1">
        <v>39161</v>
      </c>
      <c r="M692" s="1" t="str">
        <f>IF(ISBLANK(Data[[#This Row],[EndDate]]),"Active","InActive")</f>
        <v>Active</v>
      </c>
      <c r="N692" t="s">
        <v>20</v>
      </c>
      <c r="O692" t="s">
        <v>21</v>
      </c>
      <c r="P692" t="s">
        <v>32</v>
      </c>
      <c r="Q692" s="2">
        <v>6804</v>
      </c>
    </row>
    <row r="693" spans="1:17" x14ac:dyDescent="0.2">
      <c r="A693" s="1">
        <v>43070</v>
      </c>
      <c r="B693">
        <v>52966</v>
      </c>
      <c r="C693" t="s">
        <v>79</v>
      </c>
      <c r="D693" t="s">
        <v>23</v>
      </c>
      <c r="E693" t="s">
        <v>24</v>
      </c>
      <c r="F693" s="5">
        <v>24</v>
      </c>
      <c r="G693" t="str">
        <f>IF(Data[[#This Row],[Age]]&lt;25,"Under 25",IF(Data[[#This Row],[Age]]&lt;35,"25–34",IF(Data[[#This Row],[Age]]&lt;45,"35–44",IF(Data[[#This Row],[Age]]&lt;55,"45–54","55+"))))</f>
        <v>Under 25</v>
      </c>
      <c r="H693" t="s">
        <v>34</v>
      </c>
      <c r="I693" t="s">
        <v>18</v>
      </c>
      <c r="J693" t="s">
        <v>37</v>
      </c>
      <c r="K693" s="1">
        <v>39918</v>
      </c>
      <c r="M693" s="1" t="str">
        <f>IF(ISBLANK(Data[[#This Row],[EndDate]]),"Active","InActive")</f>
        <v>Active</v>
      </c>
      <c r="N693" t="s">
        <v>20</v>
      </c>
      <c r="O693" t="s">
        <v>21</v>
      </c>
      <c r="P693" t="s">
        <v>32</v>
      </c>
      <c r="Q693" s="2">
        <v>10572</v>
      </c>
    </row>
    <row r="694" spans="1:17" x14ac:dyDescent="0.2">
      <c r="A694" s="1">
        <v>43070</v>
      </c>
      <c r="B694">
        <v>52972</v>
      </c>
      <c r="C694" t="s">
        <v>79</v>
      </c>
      <c r="D694" t="s">
        <v>23</v>
      </c>
      <c r="E694" t="s">
        <v>24</v>
      </c>
      <c r="F694" s="5">
        <v>24</v>
      </c>
      <c r="G694" t="str">
        <f>IF(Data[[#This Row],[Age]]&lt;25,"Under 25",IF(Data[[#This Row],[Age]]&lt;35,"25–34",IF(Data[[#This Row],[Age]]&lt;45,"35–44",IF(Data[[#This Row],[Age]]&lt;55,"45–54","55+"))))</f>
        <v>Under 25</v>
      </c>
      <c r="H694" t="s">
        <v>59</v>
      </c>
      <c r="I694" t="s">
        <v>18</v>
      </c>
      <c r="J694" t="s">
        <v>37</v>
      </c>
      <c r="K694" s="1">
        <v>39364</v>
      </c>
      <c r="M694" s="1" t="str">
        <f>IF(ISBLANK(Data[[#This Row],[EndDate]]),"Active","InActive")</f>
        <v>Active</v>
      </c>
      <c r="N694" t="s">
        <v>20</v>
      </c>
      <c r="O694" t="s">
        <v>21</v>
      </c>
      <c r="P694" t="s">
        <v>32</v>
      </c>
      <c r="Q694" s="2">
        <v>5760</v>
      </c>
    </row>
    <row r="695" spans="1:17" x14ac:dyDescent="0.2">
      <c r="A695" s="1">
        <v>43435</v>
      </c>
      <c r="B695">
        <v>40458</v>
      </c>
      <c r="C695" t="s">
        <v>79</v>
      </c>
      <c r="D695" t="s">
        <v>50</v>
      </c>
      <c r="E695" t="s">
        <v>55</v>
      </c>
      <c r="F695" s="5">
        <v>24</v>
      </c>
      <c r="G695" t="str">
        <f>IF(Data[[#This Row],[Age]]&lt;25,"Under 25",IF(Data[[#This Row],[Age]]&lt;35,"25–34",IF(Data[[#This Row],[Age]]&lt;45,"35–44",IF(Data[[#This Row],[Age]]&lt;55,"45–54","55+"))))</f>
        <v>Under 25</v>
      </c>
      <c r="H695" t="s">
        <v>46</v>
      </c>
      <c r="I695" t="s">
        <v>18</v>
      </c>
      <c r="J695" t="s">
        <v>37</v>
      </c>
      <c r="K695" s="1">
        <v>41838</v>
      </c>
      <c r="M695" s="1" t="str">
        <f>IF(ISBLANK(Data[[#This Row],[EndDate]]),"Active","InActive")</f>
        <v>Active</v>
      </c>
      <c r="N695" t="s">
        <v>20</v>
      </c>
      <c r="O695" t="s">
        <v>21</v>
      </c>
      <c r="P695" t="s">
        <v>40</v>
      </c>
      <c r="Q695" s="2">
        <v>7728</v>
      </c>
    </row>
    <row r="696" spans="1:17" x14ac:dyDescent="0.2">
      <c r="A696" s="1">
        <v>43435</v>
      </c>
      <c r="B696">
        <v>40754</v>
      </c>
      <c r="C696" t="s">
        <v>79</v>
      </c>
      <c r="D696" t="s">
        <v>27</v>
      </c>
      <c r="E696" t="s">
        <v>72</v>
      </c>
      <c r="F696" s="5">
        <v>24</v>
      </c>
      <c r="G696" t="str">
        <f>IF(Data[[#This Row],[Age]]&lt;25,"Under 25",IF(Data[[#This Row],[Age]]&lt;35,"25–34",IF(Data[[#This Row],[Age]]&lt;45,"35–44",IF(Data[[#This Row],[Age]]&lt;55,"45–54","55+"))))</f>
        <v>Under 25</v>
      </c>
      <c r="H696" t="s">
        <v>31</v>
      </c>
      <c r="I696" t="s">
        <v>18</v>
      </c>
      <c r="J696" t="s">
        <v>37</v>
      </c>
      <c r="K696" s="1">
        <v>39667</v>
      </c>
      <c r="L696" s="1">
        <v>39787</v>
      </c>
      <c r="M696" s="1" t="str">
        <f>IF(ISBLANK(Data[[#This Row],[EndDate]]),"Active","InActive")</f>
        <v>InActive</v>
      </c>
      <c r="N696" t="s">
        <v>20</v>
      </c>
      <c r="O696" t="s">
        <v>21</v>
      </c>
      <c r="P696" t="s">
        <v>40</v>
      </c>
      <c r="Q696" s="2">
        <v>6204</v>
      </c>
    </row>
    <row r="697" spans="1:17" x14ac:dyDescent="0.2">
      <c r="A697" s="1">
        <v>43435</v>
      </c>
      <c r="B697">
        <v>43442</v>
      </c>
      <c r="C697" t="s">
        <v>80</v>
      </c>
      <c r="D697" t="s">
        <v>47</v>
      </c>
      <c r="E697" t="s">
        <v>64</v>
      </c>
      <c r="F697" s="5">
        <v>24</v>
      </c>
      <c r="G697" t="str">
        <f>IF(Data[[#This Row],[Age]]&lt;25,"Under 25",IF(Data[[#This Row],[Age]]&lt;35,"25–34",IF(Data[[#This Row],[Age]]&lt;45,"35–44",IF(Data[[#This Row],[Age]]&lt;55,"45–54","55+"))))</f>
        <v>Under 25</v>
      </c>
      <c r="H697" t="s">
        <v>59</v>
      </c>
      <c r="I697" t="s">
        <v>18</v>
      </c>
      <c r="J697" t="s">
        <v>37</v>
      </c>
      <c r="K697" s="1">
        <v>41936</v>
      </c>
      <c r="M697" s="1" t="str">
        <f>IF(ISBLANK(Data[[#This Row],[EndDate]]),"Active","InActive")</f>
        <v>Active</v>
      </c>
      <c r="N697" t="s">
        <v>20</v>
      </c>
      <c r="O697" t="s">
        <v>21</v>
      </c>
      <c r="P697" t="s">
        <v>40</v>
      </c>
      <c r="Q697" s="2">
        <v>5508</v>
      </c>
    </row>
    <row r="698" spans="1:17" x14ac:dyDescent="0.2">
      <c r="A698" s="1">
        <v>43435</v>
      </c>
      <c r="B698">
        <v>43606</v>
      </c>
      <c r="C698" t="s">
        <v>79</v>
      </c>
      <c r="D698" t="s">
        <v>41</v>
      </c>
      <c r="E698" t="s">
        <v>62</v>
      </c>
      <c r="F698" s="5">
        <v>24</v>
      </c>
      <c r="G698" t="str">
        <f>IF(Data[[#This Row],[Age]]&lt;25,"Under 25",IF(Data[[#This Row],[Age]]&lt;35,"25–34",IF(Data[[#This Row],[Age]]&lt;45,"35–44",IF(Data[[#This Row],[Age]]&lt;55,"45–54","55+"))))</f>
        <v>Under 25</v>
      </c>
      <c r="H698" t="s">
        <v>46</v>
      </c>
      <c r="I698" t="s">
        <v>18</v>
      </c>
      <c r="J698" t="s">
        <v>37</v>
      </c>
      <c r="K698" s="1">
        <v>40786</v>
      </c>
      <c r="M698" s="1" t="str">
        <f>IF(ISBLANK(Data[[#This Row],[EndDate]]),"Active","InActive")</f>
        <v>Active</v>
      </c>
      <c r="N698" t="s">
        <v>20</v>
      </c>
      <c r="O698" t="s">
        <v>21</v>
      </c>
      <c r="P698" t="s">
        <v>40</v>
      </c>
      <c r="Q698" s="2">
        <v>11400</v>
      </c>
    </row>
    <row r="699" spans="1:17" x14ac:dyDescent="0.2">
      <c r="A699" s="1">
        <v>43435</v>
      </c>
      <c r="B699">
        <v>43690</v>
      </c>
      <c r="C699" t="s">
        <v>79</v>
      </c>
      <c r="D699" t="s">
        <v>41</v>
      </c>
      <c r="E699" t="s">
        <v>62</v>
      </c>
      <c r="F699" s="5">
        <v>24</v>
      </c>
      <c r="G699" t="str">
        <f>IF(Data[[#This Row],[Age]]&lt;25,"Under 25",IF(Data[[#This Row],[Age]]&lt;35,"25–34",IF(Data[[#This Row],[Age]]&lt;45,"35–44",IF(Data[[#This Row],[Age]]&lt;55,"45–54","55+"))))</f>
        <v>Under 25</v>
      </c>
      <c r="H699" t="s">
        <v>34</v>
      </c>
      <c r="I699" t="s">
        <v>18</v>
      </c>
      <c r="J699" t="s">
        <v>37</v>
      </c>
      <c r="K699" s="1">
        <v>41851</v>
      </c>
      <c r="M699" s="1" t="str">
        <f>IF(ISBLANK(Data[[#This Row],[EndDate]]),"Active","InActive")</f>
        <v>Active</v>
      </c>
      <c r="N699" t="s">
        <v>20</v>
      </c>
      <c r="O699" t="s">
        <v>21</v>
      </c>
      <c r="P699" t="s">
        <v>40</v>
      </c>
      <c r="Q699" s="2">
        <v>11604</v>
      </c>
    </row>
    <row r="700" spans="1:17" x14ac:dyDescent="0.2">
      <c r="A700" s="1">
        <v>43435</v>
      </c>
      <c r="B700">
        <v>54986</v>
      </c>
      <c r="C700" t="s">
        <v>79</v>
      </c>
      <c r="D700" t="s">
        <v>43</v>
      </c>
      <c r="E700" t="s">
        <v>44</v>
      </c>
      <c r="F700" s="5">
        <v>24</v>
      </c>
      <c r="G700" t="str">
        <f>IF(Data[[#This Row],[Age]]&lt;25,"Under 25",IF(Data[[#This Row],[Age]]&lt;35,"25–34",IF(Data[[#This Row],[Age]]&lt;45,"35–44",IF(Data[[#This Row],[Age]]&lt;55,"45–54","55+"))))</f>
        <v>Under 25</v>
      </c>
      <c r="H700" t="s">
        <v>31</v>
      </c>
      <c r="I700" t="s">
        <v>18</v>
      </c>
      <c r="J700" t="s">
        <v>37</v>
      </c>
      <c r="K700" s="1">
        <v>41827</v>
      </c>
      <c r="M700" s="1" t="str">
        <f>IF(ISBLANK(Data[[#This Row],[EndDate]]),"Active","InActive")</f>
        <v>Active</v>
      </c>
      <c r="N700" t="s">
        <v>20</v>
      </c>
      <c r="O700" t="s">
        <v>21</v>
      </c>
      <c r="P700" t="s">
        <v>40</v>
      </c>
      <c r="Q700" s="2">
        <v>7668</v>
      </c>
    </row>
    <row r="701" spans="1:17" x14ac:dyDescent="0.2">
      <c r="A701" s="1">
        <v>42705</v>
      </c>
      <c r="B701">
        <v>99492</v>
      </c>
      <c r="C701" t="s">
        <v>79</v>
      </c>
      <c r="D701" t="s">
        <v>29</v>
      </c>
      <c r="E701" t="s">
        <v>30</v>
      </c>
      <c r="F701" s="5">
        <v>24</v>
      </c>
      <c r="G701" t="str">
        <f>IF(Data[[#This Row],[Age]]&lt;25,"Under 25",IF(Data[[#This Row],[Age]]&lt;35,"25–34",IF(Data[[#This Row],[Age]]&lt;45,"35–44",IF(Data[[#This Row],[Age]]&lt;55,"45–54","55+"))))</f>
        <v>Under 25</v>
      </c>
      <c r="H701" t="s">
        <v>31</v>
      </c>
      <c r="I701" t="s">
        <v>18</v>
      </c>
      <c r="J701" t="s">
        <v>26</v>
      </c>
      <c r="K701" s="1">
        <v>40772</v>
      </c>
      <c r="M701" s="1" t="str">
        <f>IF(ISBLANK(Data[[#This Row],[EndDate]]),"Active","InActive")</f>
        <v>Active</v>
      </c>
      <c r="N701" t="s">
        <v>20</v>
      </c>
      <c r="O701" t="s">
        <v>21</v>
      </c>
      <c r="P701" t="s">
        <v>22</v>
      </c>
      <c r="Q701" s="2">
        <v>7920</v>
      </c>
    </row>
    <row r="702" spans="1:17" x14ac:dyDescent="0.2">
      <c r="A702" s="1">
        <v>43070</v>
      </c>
      <c r="B702">
        <v>7324</v>
      </c>
      <c r="C702" t="s">
        <v>80</v>
      </c>
      <c r="D702" t="s">
        <v>50</v>
      </c>
      <c r="E702" t="s">
        <v>63</v>
      </c>
      <c r="F702" s="5">
        <v>24</v>
      </c>
      <c r="G702" t="str">
        <f>IF(Data[[#This Row],[Age]]&lt;25,"Under 25",IF(Data[[#This Row],[Age]]&lt;35,"25–34",IF(Data[[#This Row],[Age]]&lt;45,"35–44",IF(Data[[#This Row],[Age]]&lt;55,"45–54","55+"))))</f>
        <v>Under 25</v>
      </c>
      <c r="H702" t="s">
        <v>46</v>
      </c>
      <c r="I702" t="s">
        <v>18</v>
      </c>
      <c r="J702" t="s">
        <v>37</v>
      </c>
      <c r="K702" s="1">
        <v>41606</v>
      </c>
      <c r="M702" s="1" t="str">
        <f>IF(ISBLANK(Data[[#This Row],[EndDate]]),"Active","InActive")</f>
        <v>Active</v>
      </c>
      <c r="N702" t="s">
        <v>20</v>
      </c>
      <c r="O702" t="s">
        <v>21</v>
      </c>
      <c r="P702" t="s">
        <v>32</v>
      </c>
      <c r="Q702" s="2">
        <v>11472</v>
      </c>
    </row>
    <row r="703" spans="1:17" x14ac:dyDescent="0.2">
      <c r="A703" s="1">
        <v>43070</v>
      </c>
      <c r="B703">
        <v>23750</v>
      </c>
      <c r="C703" t="s">
        <v>79</v>
      </c>
      <c r="D703" t="s">
        <v>41</v>
      </c>
      <c r="E703" t="s">
        <v>62</v>
      </c>
      <c r="F703" s="5">
        <v>24</v>
      </c>
      <c r="G703" t="str">
        <f>IF(Data[[#This Row],[Age]]&lt;25,"Under 25",IF(Data[[#This Row],[Age]]&lt;35,"25–34",IF(Data[[#This Row],[Age]]&lt;45,"35–44",IF(Data[[#This Row],[Age]]&lt;55,"45–54","55+"))))</f>
        <v>Under 25</v>
      </c>
      <c r="H703" t="s">
        <v>34</v>
      </c>
      <c r="I703" t="s">
        <v>18</v>
      </c>
      <c r="J703" t="s">
        <v>37</v>
      </c>
      <c r="K703" s="1">
        <v>41606</v>
      </c>
      <c r="M703" s="1" t="str">
        <f>IF(ISBLANK(Data[[#This Row],[EndDate]]),"Active","InActive")</f>
        <v>Active</v>
      </c>
      <c r="N703" t="s">
        <v>20</v>
      </c>
      <c r="O703" t="s">
        <v>21</v>
      </c>
      <c r="P703" t="s">
        <v>32</v>
      </c>
      <c r="Q703" s="2">
        <v>4644</v>
      </c>
    </row>
    <row r="704" spans="1:17" x14ac:dyDescent="0.2">
      <c r="A704" s="1">
        <v>43070</v>
      </c>
      <c r="B704">
        <v>29276</v>
      </c>
      <c r="C704" t="s">
        <v>79</v>
      </c>
      <c r="D704" t="s">
        <v>27</v>
      </c>
      <c r="E704" t="s">
        <v>74</v>
      </c>
      <c r="F704" s="5">
        <v>24</v>
      </c>
      <c r="G704" t="str">
        <f>IF(Data[[#This Row],[Age]]&lt;25,"Under 25",IF(Data[[#This Row],[Age]]&lt;35,"25–34",IF(Data[[#This Row],[Age]]&lt;45,"35–44",IF(Data[[#This Row],[Age]]&lt;55,"45–54","55+"))))</f>
        <v>Under 25</v>
      </c>
      <c r="H704" t="s">
        <v>17</v>
      </c>
      <c r="I704" t="s">
        <v>18</v>
      </c>
      <c r="J704" t="s">
        <v>35</v>
      </c>
      <c r="K704" s="1">
        <v>41591</v>
      </c>
      <c r="M704" s="1" t="str">
        <f>IF(ISBLANK(Data[[#This Row],[EndDate]]),"Active","InActive")</f>
        <v>Active</v>
      </c>
      <c r="N704" t="s">
        <v>20</v>
      </c>
      <c r="O704" t="s">
        <v>21</v>
      </c>
      <c r="P704" t="s">
        <v>32</v>
      </c>
      <c r="Q704" s="2">
        <v>3324</v>
      </c>
    </row>
    <row r="705" spans="1:17" x14ac:dyDescent="0.2">
      <c r="A705" s="1">
        <v>43070</v>
      </c>
      <c r="B705">
        <v>95710</v>
      </c>
      <c r="C705" t="s">
        <v>79</v>
      </c>
      <c r="D705" t="s">
        <v>47</v>
      </c>
      <c r="E705" t="s">
        <v>48</v>
      </c>
      <c r="F705" s="5">
        <v>25</v>
      </c>
      <c r="G705" t="str">
        <f>IF(Data[[#This Row],[Age]]&lt;25,"Under 25",IF(Data[[#This Row],[Age]]&lt;35,"25–34",IF(Data[[#This Row],[Age]]&lt;45,"35–44",IF(Data[[#This Row],[Age]]&lt;55,"45–54","55+"))))</f>
        <v>25–34</v>
      </c>
      <c r="H705" t="s">
        <v>25</v>
      </c>
      <c r="I705" t="s">
        <v>56</v>
      </c>
      <c r="J705" t="s">
        <v>19</v>
      </c>
      <c r="K705" s="1">
        <v>40948</v>
      </c>
      <c r="M705" s="1" t="str">
        <f>IF(ISBLANK(Data[[#This Row],[EndDate]]),"Active","InActive")</f>
        <v>Active</v>
      </c>
      <c r="N705" t="s">
        <v>57</v>
      </c>
      <c r="O705" t="s">
        <v>54</v>
      </c>
      <c r="P705" t="s">
        <v>32</v>
      </c>
      <c r="Q705" s="2">
        <v>5300</v>
      </c>
    </row>
    <row r="706" spans="1:17" x14ac:dyDescent="0.2">
      <c r="A706" s="1">
        <v>43070</v>
      </c>
      <c r="B706">
        <v>95770</v>
      </c>
      <c r="C706" t="s">
        <v>79</v>
      </c>
      <c r="D706" t="s">
        <v>27</v>
      </c>
      <c r="E706" t="s">
        <v>28</v>
      </c>
      <c r="F706" s="5">
        <v>25</v>
      </c>
      <c r="G706" t="str">
        <f>IF(Data[[#This Row],[Age]]&lt;25,"Under 25",IF(Data[[#This Row],[Age]]&lt;35,"25–34",IF(Data[[#This Row],[Age]]&lt;45,"35–44",IF(Data[[#This Row],[Age]]&lt;55,"45–54","55+"))))</f>
        <v>25–34</v>
      </c>
      <c r="H706" t="s">
        <v>25</v>
      </c>
      <c r="I706" t="s">
        <v>56</v>
      </c>
      <c r="J706" t="s">
        <v>19</v>
      </c>
      <c r="K706" s="1">
        <v>41423</v>
      </c>
      <c r="M706" s="1" t="str">
        <f>IF(ISBLANK(Data[[#This Row],[EndDate]]),"Active","InActive")</f>
        <v>Active</v>
      </c>
      <c r="N706" t="s">
        <v>57</v>
      </c>
      <c r="O706" t="s">
        <v>54</v>
      </c>
      <c r="P706" t="s">
        <v>32</v>
      </c>
      <c r="Q706" s="2">
        <v>3462.5</v>
      </c>
    </row>
    <row r="707" spans="1:17" x14ac:dyDescent="0.2">
      <c r="A707" s="1">
        <v>43435</v>
      </c>
      <c r="B707">
        <v>53166</v>
      </c>
      <c r="C707" t="s">
        <v>80</v>
      </c>
      <c r="D707" t="s">
        <v>52</v>
      </c>
      <c r="E707" t="s">
        <v>67</v>
      </c>
      <c r="F707" s="5">
        <v>25</v>
      </c>
      <c r="G707" t="str">
        <f>IF(Data[[#This Row],[Age]]&lt;25,"Under 25",IF(Data[[#This Row],[Age]]&lt;35,"25–34",IF(Data[[#This Row],[Age]]&lt;45,"35–44",IF(Data[[#This Row],[Age]]&lt;55,"45–54","55+"))))</f>
        <v>25–34</v>
      </c>
      <c r="H707" t="s">
        <v>49</v>
      </c>
      <c r="I707" t="s">
        <v>56</v>
      </c>
      <c r="J707" t="s">
        <v>37</v>
      </c>
      <c r="K707" s="1">
        <v>41723</v>
      </c>
      <c r="L707" s="1">
        <v>41843</v>
      </c>
      <c r="M707" s="1" t="str">
        <f>IF(ISBLANK(Data[[#This Row],[EndDate]]),"Active","InActive")</f>
        <v>InActive</v>
      </c>
      <c r="N707" t="s">
        <v>57</v>
      </c>
      <c r="O707" t="s">
        <v>54</v>
      </c>
      <c r="P707" t="s">
        <v>40</v>
      </c>
      <c r="Q707" s="2">
        <v>6537.5</v>
      </c>
    </row>
    <row r="708" spans="1:17" x14ac:dyDescent="0.2">
      <c r="A708" s="1">
        <v>42705</v>
      </c>
      <c r="B708">
        <v>21544</v>
      </c>
      <c r="C708" t="s">
        <v>79</v>
      </c>
      <c r="D708" t="s">
        <v>41</v>
      </c>
      <c r="E708" t="s">
        <v>62</v>
      </c>
      <c r="F708" s="5">
        <v>25</v>
      </c>
      <c r="G708" t="str">
        <f>IF(Data[[#This Row],[Age]]&lt;25,"Under 25",IF(Data[[#This Row],[Age]]&lt;35,"25–34",IF(Data[[#This Row],[Age]]&lt;45,"35–44",IF(Data[[#This Row],[Age]]&lt;55,"45–54","55+"))))</f>
        <v>25–34</v>
      </c>
      <c r="H708" t="s">
        <v>46</v>
      </c>
      <c r="I708" t="s">
        <v>18</v>
      </c>
      <c r="J708" t="s">
        <v>37</v>
      </c>
      <c r="K708" s="1">
        <v>40423</v>
      </c>
      <c r="M708" s="1" t="str">
        <f>IF(ISBLANK(Data[[#This Row],[EndDate]]),"Active","InActive")</f>
        <v>Active</v>
      </c>
      <c r="N708" t="s">
        <v>20</v>
      </c>
      <c r="O708" t="s">
        <v>54</v>
      </c>
      <c r="P708" t="s">
        <v>22</v>
      </c>
      <c r="Q708" s="2">
        <v>8125</v>
      </c>
    </row>
    <row r="709" spans="1:17" x14ac:dyDescent="0.2">
      <c r="A709" s="1">
        <v>42705</v>
      </c>
      <c r="B709">
        <v>50340</v>
      </c>
      <c r="C709" t="s">
        <v>79</v>
      </c>
      <c r="D709" t="s">
        <v>15</v>
      </c>
      <c r="E709" t="s">
        <v>16</v>
      </c>
      <c r="F709" s="5">
        <v>25</v>
      </c>
      <c r="G709" t="str">
        <f>IF(Data[[#This Row],[Age]]&lt;25,"Under 25",IF(Data[[#This Row],[Age]]&lt;35,"25–34",IF(Data[[#This Row],[Age]]&lt;45,"35–44",IF(Data[[#This Row],[Age]]&lt;55,"45–54","55+"))))</f>
        <v>25–34</v>
      </c>
      <c r="H709" t="s">
        <v>25</v>
      </c>
      <c r="I709" t="s">
        <v>56</v>
      </c>
      <c r="J709" t="s">
        <v>37</v>
      </c>
      <c r="K709" s="1">
        <v>41084</v>
      </c>
      <c r="M709" s="1" t="str">
        <f>IF(ISBLANK(Data[[#This Row],[EndDate]]),"Active","InActive")</f>
        <v>Active</v>
      </c>
      <c r="N709" t="s">
        <v>57</v>
      </c>
      <c r="O709" t="s">
        <v>54</v>
      </c>
      <c r="P709" t="s">
        <v>22</v>
      </c>
      <c r="Q709" s="2">
        <v>10062.5</v>
      </c>
    </row>
    <row r="710" spans="1:17" x14ac:dyDescent="0.2">
      <c r="A710" s="1">
        <v>42705</v>
      </c>
      <c r="B710">
        <v>53726</v>
      </c>
      <c r="C710" t="s">
        <v>79</v>
      </c>
      <c r="D710" t="s">
        <v>50</v>
      </c>
      <c r="E710" t="s">
        <v>63</v>
      </c>
      <c r="F710" s="5">
        <v>25</v>
      </c>
      <c r="G710" t="str">
        <f>IF(Data[[#This Row],[Age]]&lt;25,"Under 25",IF(Data[[#This Row],[Age]]&lt;35,"25–34",IF(Data[[#This Row],[Age]]&lt;45,"35–44",IF(Data[[#This Row],[Age]]&lt;55,"45–54","55+"))))</f>
        <v>25–34</v>
      </c>
      <c r="H710" t="s">
        <v>25</v>
      </c>
      <c r="I710" t="s">
        <v>18</v>
      </c>
      <c r="J710" t="s">
        <v>35</v>
      </c>
      <c r="K710" s="1">
        <v>41011</v>
      </c>
      <c r="M710" s="1" t="str">
        <f>IF(ISBLANK(Data[[#This Row],[EndDate]]),"Active","InActive")</f>
        <v>Active</v>
      </c>
      <c r="N710" t="s">
        <v>20</v>
      </c>
      <c r="O710" t="s">
        <v>54</v>
      </c>
      <c r="P710" t="s">
        <v>22</v>
      </c>
      <c r="Q710" s="2">
        <v>11300</v>
      </c>
    </row>
    <row r="711" spans="1:17" x14ac:dyDescent="0.2">
      <c r="A711" s="1">
        <v>43070</v>
      </c>
      <c r="B711">
        <v>2090</v>
      </c>
      <c r="C711" t="s">
        <v>80</v>
      </c>
      <c r="D711" t="s">
        <v>15</v>
      </c>
      <c r="E711" t="s">
        <v>58</v>
      </c>
      <c r="F711" s="5">
        <v>25</v>
      </c>
      <c r="G711" t="str">
        <f>IF(Data[[#This Row],[Age]]&lt;25,"Under 25",IF(Data[[#This Row],[Age]]&lt;35,"25–34",IF(Data[[#This Row],[Age]]&lt;45,"35–44",IF(Data[[#This Row],[Age]]&lt;55,"45–54","55+"))))</f>
        <v>25–34</v>
      </c>
      <c r="H711" t="s">
        <v>17</v>
      </c>
      <c r="I711" t="s">
        <v>18</v>
      </c>
      <c r="J711" t="s">
        <v>37</v>
      </c>
      <c r="K711" s="1">
        <v>41446</v>
      </c>
      <c r="M711" s="1" t="str">
        <f>IF(ISBLANK(Data[[#This Row],[EndDate]]),"Active","InActive")</f>
        <v>Active</v>
      </c>
      <c r="N711" t="s">
        <v>20</v>
      </c>
      <c r="O711" t="s">
        <v>54</v>
      </c>
      <c r="P711" t="s">
        <v>32</v>
      </c>
      <c r="Q711" s="2">
        <v>2462.5</v>
      </c>
    </row>
    <row r="712" spans="1:17" x14ac:dyDescent="0.2">
      <c r="A712" s="1">
        <v>43070</v>
      </c>
      <c r="B712">
        <v>10786</v>
      </c>
      <c r="C712" t="s">
        <v>80</v>
      </c>
      <c r="D712" t="s">
        <v>52</v>
      </c>
      <c r="E712" t="s">
        <v>69</v>
      </c>
      <c r="F712" s="5">
        <v>25</v>
      </c>
      <c r="G712" t="str">
        <f>IF(Data[[#This Row],[Age]]&lt;25,"Under 25",IF(Data[[#This Row],[Age]]&lt;35,"25–34",IF(Data[[#This Row],[Age]]&lt;45,"35–44",IF(Data[[#This Row],[Age]]&lt;55,"45–54","55+"))))</f>
        <v>25–34</v>
      </c>
      <c r="H712" t="s">
        <v>46</v>
      </c>
      <c r="I712" t="s">
        <v>18</v>
      </c>
      <c r="J712" t="s">
        <v>35</v>
      </c>
      <c r="K712" s="1">
        <v>41563</v>
      </c>
      <c r="M712" s="1" t="str">
        <f>IF(ISBLANK(Data[[#This Row],[EndDate]]),"Active","InActive")</f>
        <v>Active</v>
      </c>
      <c r="N712" t="s">
        <v>20</v>
      </c>
      <c r="O712" t="s">
        <v>54</v>
      </c>
      <c r="P712" t="s">
        <v>32</v>
      </c>
      <c r="Q712" s="2">
        <v>11700</v>
      </c>
    </row>
    <row r="713" spans="1:17" x14ac:dyDescent="0.2">
      <c r="A713" s="1">
        <v>43070</v>
      </c>
      <c r="B713">
        <v>41332</v>
      </c>
      <c r="C713" t="s">
        <v>80</v>
      </c>
      <c r="D713" t="s">
        <v>41</v>
      </c>
      <c r="E713" t="s">
        <v>68</v>
      </c>
      <c r="F713" s="5">
        <v>25</v>
      </c>
      <c r="G713" t="str">
        <f>IF(Data[[#This Row],[Age]]&lt;25,"Under 25",IF(Data[[#This Row],[Age]]&lt;35,"25–34",IF(Data[[#This Row],[Age]]&lt;45,"35–44",IF(Data[[#This Row],[Age]]&lt;55,"45–54","55+"))))</f>
        <v>25–34</v>
      </c>
      <c r="H713" t="s">
        <v>17</v>
      </c>
      <c r="I713" t="s">
        <v>56</v>
      </c>
      <c r="J713" t="s">
        <v>37</v>
      </c>
      <c r="K713" s="1">
        <v>40106</v>
      </c>
      <c r="M713" s="1" t="str">
        <f>IF(ISBLANK(Data[[#This Row],[EndDate]]),"Active","InActive")</f>
        <v>Active</v>
      </c>
      <c r="N713" t="s">
        <v>57</v>
      </c>
      <c r="O713" t="s">
        <v>54</v>
      </c>
      <c r="P713" t="s">
        <v>32</v>
      </c>
      <c r="Q713" s="2">
        <v>1512.5</v>
      </c>
    </row>
    <row r="714" spans="1:17" x14ac:dyDescent="0.2">
      <c r="A714" s="1">
        <v>43435</v>
      </c>
      <c r="B714">
        <v>41712</v>
      </c>
      <c r="C714" t="s">
        <v>79</v>
      </c>
      <c r="D714" t="s">
        <v>52</v>
      </c>
      <c r="E714" t="s">
        <v>53</v>
      </c>
      <c r="F714" s="5">
        <v>25</v>
      </c>
      <c r="G714" t="str">
        <f>IF(Data[[#This Row],[Age]]&lt;25,"Under 25",IF(Data[[#This Row],[Age]]&lt;35,"25–34",IF(Data[[#This Row],[Age]]&lt;45,"35–44",IF(Data[[#This Row],[Age]]&lt;55,"45–54","55+"))))</f>
        <v>25–34</v>
      </c>
      <c r="H714" t="s">
        <v>46</v>
      </c>
      <c r="I714" t="s">
        <v>18</v>
      </c>
      <c r="J714" t="s">
        <v>35</v>
      </c>
      <c r="K714" s="1">
        <v>41872</v>
      </c>
      <c r="M714" s="1" t="str">
        <f>IF(ISBLANK(Data[[#This Row],[EndDate]]),"Active","InActive")</f>
        <v>Active</v>
      </c>
      <c r="N714" t="s">
        <v>20</v>
      </c>
      <c r="O714" t="s">
        <v>54</v>
      </c>
      <c r="P714" t="s">
        <v>40</v>
      </c>
      <c r="Q714" s="2">
        <v>2112.5</v>
      </c>
    </row>
    <row r="715" spans="1:17" x14ac:dyDescent="0.2">
      <c r="A715" s="1">
        <v>43435</v>
      </c>
      <c r="B715">
        <v>50838</v>
      </c>
      <c r="C715" t="s">
        <v>80</v>
      </c>
      <c r="D715" t="s">
        <v>38</v>
      </c>
      <c r="E715" t="s">
        <v>61</v>
      </c>
      <c r="F715" s="5">
        <v>25</v>
      </c>
      <c r="G715" t="str">
        <f>IF(Data[[#This Row],[Age]]&lt;25,"Under 25",IF(Data[[#This Row],[Age]]&lt;35,"25–34",IF(Data[[#This Row],[Age]]&lt;45,"35–44",IF(Data[[#This Row],[Age]]&lt;55,"45–54","55+"))))</f>
        <v>25–34</v>
      </c>
      <c r="H715" t="s">
        <v>17</v>
      </c>
      <c r="I715" t="s">
        <v>56</v>
      </c>
      <c r="J715" t="s">
        <v>26</v>
      </c>
      <c r="K715" s="1">
        <v>40291</v>
      </c>
      <c r="M715" s="1" t="str">
        <f>IF(ISBLANK(Data[[#This Row],[EndDate]]),"Active","InActive")</f>
        <v>Active</v>
      </c>
      <c r="N715" t="s">
        <v>57</v>
      </c>
      <c r="O715" t="s">
        <v>54</v>
      </c>
      <c r="P715" t="s">
        <v>40</v>
      </c>
      <c r="Q715" s="2">
        <v>11350</v>
      </c>
    </row>
    <row r="716" spans="1:17" x14ac:dyDescent="0.2">
      <c r="A716" s="1">
        <v>43435</v>
      </c>
      <c r="B716">
        <v>53750</v>
      </c>
      <c r="C716" t="s">
        <v>80</v>
      </c>
      <c r="D716" t="s">
        <v>50</v>
      </c>
      <c r="E716" t="s">
        <v>51</v>
      </c>
      <c r="F716" s="5">
        <v>25</v>
      </c>
      <c r="G716" t="str">
        <f>IF(Data[[#This Row],[Age]]&lt;25,"Under 25",IF(Data[[#This Row],[Age]]&lt;35,"25–34",IF(Data[[#This Row],[Age]]&lt;45,"35–44",IF(Data[[#This Row],[Age]]&lt;55,"45–54","55+"))))</f>
        <v>25–34</v>
      </c>
      <c r="H716" t="s">
        <v>59</v>
      </c>
      <c r="I716" t="s">
        <v>18</v>
      </c>
      <c r="J716" t="s">
        <v>35</v>
      </c>
      <c r="K716" s="1">
        <v>41759</v>
      </c>
      <c r="L716" s="1">
        <v>41879</v>
      </c>
      <c r="M716" s="1" t="str">
        <f>IF(ISBLANK(Data[[#This Row],[EndDate]]),"Active","InActive")</f>
        <v>InActive</v>
      </c>
      <c r="N716" t="s">
        <v>20</v>
      </c>
      <c r="O716" t="s">
        <v>54</v>
      </c>
      <c r="P716" t="s">
        <v>40</v>
      </c>
      <c r="Q716" s="2">
        <v>9412.5</v>
      </c>
    </row>
    <row r="717" spans="1:17" x14ac:dyDescent="0.2">
      <c r="A717" s="1">
        <v>43435</v>
      </c>
      <c r="B717">
        <v>56334</v>
      </c>
      <c r="C717" t="s">
        <v>79</v>
      </c>
      <c r="D717" t="s">
        <v>27</v>
      </c>
      <c r="E717" t="s">
        <v>28</v>
      </c>
      <c r="F717" s="5">
        <v>25</v>
      </c>
      <c r="G717" t="str">
        <f>IF(Data[[#This Row],[Age]]&lt;25,"Under 25",IF(Data[[#This Row],[Age]]&lt;35,"25–34",IF(Data[[#This Row],[Age]]&lt;45,"35–44",IF(Data[[#This Row],[Age]]&lt;55,"45–54","55+"))))</f>
        <v>25–34</v>
      </c>
      <c r="H717" t="s">
        <v>17</v>
      </c>
      <c r="I717" t="s">
        <v>18</v>
      </c>
      <c r="J717" t="s">
        <v>26</v>
      </c>
      <c r="K717" s="1">
        <v>41360</v>
      </c>
      <c r="M717" s="1" t="str">
        <f>IF(ISBLANK(Data[[#This Row],[EndDate]]),"Active","InActive")</f>
        <v>Active</v>
      </c>
      <c r="N717" t="s">
        <v>20</v>
      </c>
      <c r="O717" t="s">
        <v>54</v>
      </c>
      <c r="P717" t="s">
        <v>40</v>
      </c>
      <c r="Q717" s="2">
        <v>3112.5</v>
      </c>
    </row>
    <row r="718" spans="1:17" x14ac:dyDescent="0.2">
      <c r="A718" s="1">
        <v>43435</v>
      </c>
      <c r="B718">
        <v>97066</v>
      </c>
      <c r="C718" t="s">
        <v>79</v>
      </c>
      <c r="D718" t="s">
        <v>38</v>
      </c>
      <c r="E718" t="s">
        <v>61</v>
      </c>
      <c r="F718" s="5">
        <v>25</v>
      </c>
      <c r="G718" t="str">
        <f>IF(Data[[#This Row],[Age]]&lt;25,"Under 25",IF(Data[[#This Row],[Age]]&lt;35,"25–34",IF(Data[[#This Row],[Age]]&lt;45,"35–44",IF(Data[[#This Row],[Age]]&lt;55,"45–54","55+"))))</f>
        <v>25–34</v>
      </c>
      <c r="H718" t="s">
        <v>25</v>
      </c>
      <c r="I718" t="s">
        <v>56</v>
      </c>
      <c r="J718" t="s">
        <v>19</v>
      </c>
      <c r="K718" s="1">
        <v>40743</v>
      </c>
      <c r="M718" s="1" t="str">
        <f>IF(ISBLANK(Data[[#This Row],[EndDate]]),"Active","InActive")</f>
        <v>Active</v>
      </c>
      <c r="N718" t="s">
        <v>57</v>
      </c>
      <c r="O718" t="s">
        <v>54</v>
      </c>
      <c r="P718" t="s">
        <v>40</v>
      </c>
      <c r="Q718" s="2">
        <v>7462.5</v>
      </c>
    </row>
    <row r="719" spans="1:17" x14ac:dyDescent="0.2">
      <c r="A719" s="1">
        <v>43070</v>
      </c>
      <c r="B719">
        <v>51776</v>
      </c>
      <c r="C719" t="s">
        <v>80</v>
      </c>
      <c r="D719" t="s">
        <v>50</v>
      </c>
      <c r="E719" t="s">
        <v>63</v>
      </c>
      <c r="F719" s="5">
        <v>25</v>
      </c>
      <c r="G719" t="str">
        <f>IF(Data[[#This Row],[Age]]&lt;25,"Under 25",IF(Data[[#This Row],[Age]]&lt;35,"25–34",IF(Data[[#This Row],[Age]]&lt;45,"35–44",IF(Data[[#This Row],[Age]]&lt;55,"45–54","55+"))))</f>
        <v>25–34</v>
      </c>
      <c r="H719" t="s">
        <v>49</v>
      </c>
      <c r="I719" t="s">
        <v>18</v>
      </c>
      <c r="J719" t="s">
        <v>26</v>
      </c>
      <c r="K719" s="1">
        <v>41451</v>
      </c>
      <c r="M719" s="1" t="str">
        <f>IF(ISBLANK(Data[[#This Row],[EndDate]]),"Active","InActive")</f>
        <v>Active</v>
      </c>
      <c r="N719" t="s">
        <v>20</v>
      </c>
      <c r="O719" t="s">
        <v>54</v>
      </c>
      <c r="P719" t="s">
        <v>32</v>
      </c>
      <c r="Q719" s="2">
        <v>2725</v>
      </c>
    </row>
    <row r="720" spans="1:17" x14ac:dyDescent="0.2">
      <c r="A720" s="1">
        <v>43070</v>
      </c>
      <c r="B720">
        <v>97318</v>
      </c>
      <c r="C720" t="s">
        <v>79</v>
      </c>
      <c r="D720" t="s">
        <v>41</v>
      </c>
      <c r="E720" t="s">
        <v>62</v>
      </c>
      <c r="F720" s="5">
        <v>25</v>
      </c>
      <c r="G720" t="str">
        <f>IF(Data[[#This Row],[Age]]&lt;25,"Under 25",IF(Data[[#This Row],[Age]]&lt;35,"25–34",IF(Data[[#This Row],[Age]]&lt;45,"35–44",IF(Data[[#This Row],[Age]]&lt;55,"45–54","55+"))))</f>
        <v>25–34</v>
      </c>
      <c r="H720" t="s">
        <v>49</v>
      </c>
      <c r="I720" t="s">
        <v>18</v>
      </c>
      <c r="J720" t="s">
        <v>19</v>
      </c>
      <c r="K720" s="1">
        <v>39946</v>
      </c>
      <c r="M720" s="1" t="str">
        <f>IF(ISBLANK(Data[[#This Row],[EndDate]]),"Active","InActive")</f>
        <v>Active</v>
      </c>
      <c r="N720" t="s">
        <v>20</v>
      </c>
      <c r="O720" t="s">
        <v>54</v>
      </c>
      <c r="P720" t="s">
        <v>32</v>
      </c>
      <c r="Q720" s="2">
        <v>7800</v>
      </c>
    </row>
    <row r="721" spans="1:17" x14ac:dyDescent="0.2">
      <c r="A721" s="1">
        <v>43435</v>
      </c>
      <c r="B721">
        <v>41510</v>
      </c>
      <c r="C721" t="s">
        <v>80</v>
      </c>
      <c r="D721" t="s">
        <v>41</v>
      </c>
      <c r="E721" t="s">
        <v>42</v>
      </c>
      <c r="F721" s="5">
        <v>25</v>
      </c>
      <c r="G721" t="str">
        <f>IF(Data[[#This Row],[Age]]&lt;25,"Under 25",IF(Data[[#This Row],[Age]]&lt;35,"25–34",IF(Data[[#This Row],[Age]]&lt;45,"35–44",IF(Data[[#This Row],[Age]]&lt;55,"45–54","55+"))))</f>
        <v>25–34</v>
      </c>
      <c r="H721" t="s">
        <v>49</v>
      </c>
      <c r="I721" t="s">
        <v>18</v>
      </c>
      <c r="J721" t="s">
        <v>35</v>
      </c>
      <c r="K721" s="1">
        <v>40842</v>
      </c>
      <c r="M721" s="1" t="str">
        <f>IF(ISBLANK(Data[[#This Row],[EndDate]]),"Active","InActive")</f>
        <v>Active</v>
      </c>
      <c r="N721" t="s">
        <v>20</v>
      </c>
      <c r="O721" t="s">
        <v>54</v>
      </c>
      <c r="P721" t="s">
        <v>40</v>
      </c>
      <c r="Q721" s="2">
        <v>10050</v>
      </c>
    </row>
    <row r="722" spans="1:17" x14ac:dyDescent="0.2">
      <c r="A722" s="1">
        <v>43435</v>
      </c>
      <c r="B722">
        <v>42684</v>
      </c>
      <c r="C722" t="s">
        <v>80</v>
      </c>
      <c r="D722" t="s">
        <v>27</v>
      </c>
      <c r="E722" t="s">
        <v>74</v>
      </c>
      <c r="F722" s="5">
        <v>25</v>
      </c>
      <c r="G722" t="str">
        <f>IF(Data[[#This Row],[Age]]&lt;25,"Under 25",IF(Data[[#This Row],[Age]]&lt;35,"25–34",IF(Data[[#This Row],[Age]]&lt;45,"35–44",IF(Data[[#This Row],[Age]]&lt;55,"45–54","55+"))))</f>
        <v>25–34</v>
      </c>
      <c r="H722" t="s">
        <v>49</v>
      </c>
      <c r="I722" t="s">
        <v>56</v>
      </c>
      <c r="J722" t="s">
        <v>35</v>
      </c>
      <c r="K722" s="1">
        <v>38762</v>
      </c>
      <c r="M722" s="1" t="str">
        <f>IF(ISBLANK(Data[[#This Row],[EndDate]]),"Active","InActive")</f>
        <v>Active</v>
      </c>
      <c r="N722" t="s">
        <v>57</v>
      </c>
      <c r="O722" t="s">
        <v>54</v>
      </c>
      <c r="P722" t="s">
        <v>40</v>
      </c>
      <c r="Q722" s="2">
        <v>1337.5</v>
      </c>
    </row>
    <row r="723" spans="1:17" x14ac:dyDescent="0.2">
      <c r="A723" s="1">
        <v>43435</v>
      </c>
      <c r="B723">
        <v>55504</v>
      </c>
      <c r="C723" t="s">
        <v>80</v>
      </c>
      <c r="D723" t="s">
        <v>52</v>
      </c>
      <c r="E723" t="s">
        <v>69</v>
      </c>
      <c r="F723" s="5">
        <v>25</v>
      </c>
      <c r="G723" t="str">
        <f>IF(Data[[#This Row],[Age]]&lt;25,"Under 25",IF(Data[[#This Row],[Age]]&lt;35,"25–34",IF(Data[[#This Row],[Age]]&lt;45,"35–44",IF(Data[[#This Row],[Age]]&lt;55,"45–54","55+"))))</f>
        <v>25–34</v>
      </c>
      <c r="H723" t="s">
        <v>49</v>
      </c>
      <c r="I723" t="s">
        <v>18</v>
      </c>
      <c r="J723" t="s">
        <v>26</v>
      </c>
      <c r="K723" s="1">
        <v>41873</v>
      </c>
      <c r="L723" s="1">
        <v>41993</v>
      </c>
      <c r="M723" s="1" t="str">
        <f>IF(ISBLANK(Data[[#This Row],[EndDate]]),"Active","InActive")</f>
        <v>InActive</v>
      </c>
      <c r="N723" t="s">
        <v>20</v>
      </c>
      <c r="O723" t="s">
        <v>54</v>
      </c>
      <c r="P723" t="s">
        <v>40</v>
      </c>
      <c r="Q723" s="2">
        <v>9037.5</v>
      </c>
    </row>
    <row r="724" spans="1:17" x14ac:dyDescent="0.2">
      <c r="A724" s="1">
        <v>43435</v>
      </c>
      <c r="B724">
        <v>96382</v>
      </c>
      <c r="C724" t="s">
        <v>79</v>
      </c>
      <c r="D724" t="s">
        <v>38</v>
      </c>
      <c r="E724" t="s">
        <v>45</v>
      </c>
      <c r="F724" s="5">
        <v>25</v>
      </c>
      <c r="G724" t="str">
        <f>IF(Data[[#This Row],[Age]]&lt;25,"Under 25",IF(Data[[#This Row],[Age]]&lt;35,"25–34",IF(Data[[#This Row],[Age]]&lt;45,"35–44",IF(Data[[#This Row],[Age]]&lt;55,"45–54","55+"))))</f>
        <v>25–34</v>
      </c>
      <c r="H724" t="s">
        <v>49</v>
      </c>
      <c r="I724" t="s">
        <v>56</v>
      </c>
      <c r="J724" t="s">
        <v>19</v>
      </c>
      <c r="K724" s="1">
        <v>39406</v>
      </c>
      <c r="M724" s="1" t="str">
        <f>IF(ISBLANK(Data[[#This Row],[EndDate]]),"Active","InActive")</f>
        <v>Active</v>
      </c>
      <c r="N724" t="s">
        <v>57</v>
      </c>
      <c r="O724" t="s">
        <v>54</v>
      </c>
      <c r="P724" t="s">
        <v>40</v>
      </c>
      <c r="Q724" s="2">
        <v>7475</v>
      </c>
    </row>
    <row r="725" spans="1:17" x14ac:dyDescent="0.2">
      <c r="A725" s="1">
        <v>43435</v>
      </c>
      <c r="B725">
        <v>97198</v>
      </c>
      <c r="C725" t="s">
        <v>80</v>
      </c>
      <c r="D725" t="s">
        <v>43</v>
      </c>
      <c r="E725" t="s">
        <v>66</v>
      </c>
      <c r="F725" s="5">
        <v>25</v>
      </c>
      <c r="G725" t="str">
        <f>IF(Data[[#This Row],[Age]]&lt;25,"Under 25",IF(Data[[#This Row],[Age]]&lt;35,"25–34",IF(Data[[#This Row],[Age]]&lt;45,"35–44",IF(Data[[#This Row],[Age]]&lt;55,"45–54","55+"))))</f>
        <v>25–34</v>
      </c>
      <c r="H725" t="s">
        <v>49</v>
      </c>
      <c r="I725" t="s">
        <v>18</v>
      </c>
      <c r="J725" t="s">
        <v>19</v>
      </c>
      <c r="K725" s="1">
        <v>41206</v>
      </c>
      <c r="M725" s="1" t="str">
        <f>IF(ISBLANK(Data[[#This Row],[EndDate]]),"Active","InActive")</f>
        <v>Active</v>
      </c>
      <c r="N725" t="s">
        <v>20</v>
      </c>
      <c r="O725" t="s">
        <v>54</v>
      </c>
      <c r="P725" t="s">
        <v>40</v>
      </c>
      <c r="Q725" s="2">
        <v>10125</v>
      </c>
    </row>
    <row r="726" spans="1:17" x14ac:dyDescent="0.2">
      <c r="A726" s="1">
        <v>43070</v>
      </c>
      <c r="B726">
        <v>4138</v>
      </c>
      <c r="C726" t="s">
        <v>80</v>
      </c>
      <c r="D726" t="s">
        <v>47</v>
      </c>
      <c r="E726" t="s">
        <v>73</v>
      </c>
      <c r="F726" s="5">
        <v>25</v>
      </c>
      <c r="G726" t="str">
        <f>IF(Data[[#This Row],[Age]]&lt;25,"Under 25",IF(Data[[#This Row],[Age]]&lt;35,"25–34",IF(Data[[#This Row],[Age]]&lt;45,"35–44",IF(Data[[#This Row],[Age]]&lt;55,"45–54","55+"))))</f>
        <v>25–34</v>
      </c>
      <c r="H726" t="s">
        <v>34</v>
      </c>
      <c r="I726" t="s">
        <v>18</v>
      </c>
      <c r="J726" t="s">
        <v>35</v>
      </c>
      <c r="K726" s="1">
        <v>41103</v>
      </c>
      <c r="M726" s="1" t="str">
        <f>IF(ISBLANK(Data[[#This Row],[EndDate]]),"Active","InActive")</f>
        <v>Active</v>
      </c>
      <c r="N726" t="s">
        <v>20</v>
      </c>
      <c r="O726" t="s">
        <v>54</v>
      </c>
      <c r="P726" t="s">
        <v>32</v>
      </c>
      <c r="Q726" s="2">
        <v>12350</v>
      </c>
    </row>
    <row r="727" spans="1:17" x14ac:dyDescent="0.2">
      <c r="A727" s="1">
        <v>43070</v>
      </c>
      <c r="B727">
        <v>17548</v>
      </c>
      <c r="C727" t="s">
        <v>80</v>
      </c>
      <c r="D727" t="s">
        <v>23</v>
      </c>
      <c r="E727" t="s">
        <v>71</v>
      </c>
      <c r="F727" s="5">
        <v>25</v>
      </c>
      <c r="G727" t="str">
        <f>IF(Data[[#This Row],[Age]]&lt;25,"Under 25",IF(Data[[#This Row],[Age]]&lt;35,"25–34",IF(Data[[#This Row],[Age]]&lt;45,"35–44",IF(Data[[#This Row],[Age]]&lt;55,"45–54","55+"))))</f>
        <v>25–34</v>
      </c>
      <c r="H727" t="s">
        <v>34</v>
      </c>
      <c r="I727" t="s">
        <v>18</v>
      </c>
      <c r="J727" t="s">
        <v>19</v>
      </c>
      <c r="K727" s="1">
        <v>41534</v>
      </c>
      <c r="M727" s="1" t="str">
        <f>IF(ISBLANK(Data[[#This Row],[EndDate]]),"Active","InActive")</f>
        <v>Active</v>
      </c>
      <c r="N727" t="s">
        <v>20</v>
      </c>
      <c r="O727" t="s">
        <v>54</v>
      </c>
      <c r="P727" t="s">
        <v>32</v>
      </c>
      <c r="Q727" s="2">
        <v>11075</v>
      </c>
    </row>
    <row r="728" spans="1:17" x14ac:dyDescent="0.2">
      <c r="A728" s="1">
        <v>43070</v>
      </c>
      <c r="B728">
        <v>96180</v>
      </c>
      <c r="C728" t="s">
        <v>80</v>
      </c>
      <c r="D728" t="s">
        <v>38</v>
      </c>
      <c r="E728" t="s">
        <v>45</v>
      </c>
      <c r="F728" s="5">
        <v>25</v>
      </c>
      <c r="G728" t="str">
        <f>IF(Data[[#This Row],[Age]]&lt;25,"Under 25",IF(Data[[#This Row],[Age]]&lt;35,"25–34",IF(Data[[#This Row],[Age]]&lt;45,"35–44",IF(Data[[#This Row],[Age]]&lt;55,"45–54","55+"))))</f>
        <v>25–34</v>
      </c>
      <c r="H728" t="s">
        <v>34</v>
      </c>
      <c r="I728" t="s">
        <v>56</v>
      </c>
      <c r="J728" t="s">
        <v>19</v>
      </c>
      <c r="K728" s="1">
        <v>39476</v>
      </c>
      <c r="M728" s="1" t="str">
        <f>IF(ISBLANK(Data[[#This Row],[EndDate]]),"Active","InActive")</f>
        <v>Active</v>
      </c>
      <c r="N728" t="s">
        <v>57</v>
      </c>
      <c r="O728" t="s">
        <v>54</v>
      </c>
      <c r="P728" t="s">
        <v>32</v>
      </c>
      <c r="Q728" s="2">
        <v>9500</v>
      </c>
    </row>
    <row r="729" spans="1:17" x14ac:dyDescent="0.2">
      <c r="A729" s="1">
        <v>43070</v>
      </c>
      <c r="B729">
        <v>97038</v>
      </c>
      <c r="C729" t="s">
        <v>79</v>
      </c>
      <c r="D729" t="s">
        <v>15</v>
      </c>
      <c r="E729" t="s">
        <v>58</v>
      </c>
      <c r="F729" s="5">
        <v>25</v>
      </c>
      <c r="G729" t="str">
        <f>IF(Data[[#This Row],[Age]]&lt;25,"Under 25",IF(Data[[#This Row],[Age]]&lt;35,"25–34",IF(Data[[#This Row],[Age]]&lt;45,"35–44",IF(Data[[#This Row],[Age]]&lt;55,"45–54","55+"))))</f>
        <v>25–34</v>
      </c>
      <c r="H729" t="s">
        <v>34</v>
      </c>
      <c r="I729" t="s">
        <v>56</v>
      </c>
      <c r="J729" t="s">
        <v>19</v>
      </c>
      <c r="K729" s="1">
        <v>39357</v>
      </c>
      <c r="M729" s="1" t="str">
        <f>IF(ISBLANK(Data[[#This Row],[EndDate]]),"Active","InActive")</f>
        <v>Active</v>
      </c>
      <c r="N729" t="s">
        <v>57</v>
      </c>
      <c r="O729" t="s">
        <v>54</v>
      </c>
      <c r="P729" t="s">
        <v>32</v>
      </c>
      <c r="Q729" s="2">
        <v>12275</v>
      </c>
    </row>
    <row r="730" spans="1:17" x14ac:dyDescent="0.2">
      <c r="A730" s="1">
        <v>43435</v>
      </c>
      <c r="B730">
        <v>41708</v>
      </c>
      <c r="C730" t="s">
        <v>80</v>
      </c>
      <c r="D730" t="s">
        <v>50</v>
      </c>
      <c r="E730" t="s">
        <v>63</v>
      </c>
      <c r="F730" s="5">
        <v>25</v>
      </c>
      <c r="G730" t="str">
        <f>IF(Data[[#This Row],[Age]]&lt;25,"Under 25",IF(Data[[#This Row],[Age]]&lt;35,"25–34",IF(Data[[#This Row],[Age]]&lt;45,"35–44",IF(Data[[#This Row],[Age]]&lt;55,"45–54","55+"))))</f>
        <v>25–34</v>
      </c>
      <c r="H730" t="s">
        <v>34</v>
      </c>
      <c r="I730" t="s">
        <v>18</v>
      </c>
      <c r="J730" t="s">
        <v>35</v>
      </c>
      <c r="K730" s="1">
        <v>41873</v>
      </c>
      <c r="M730" s="1" t="str">
        <f>IF(ISBLANK(Data[[#This Row],[EndDate]]),"Active","InActive")</f>
        <v>Active</v>
      </c>
      <c r="N730" t="s">
        <v>20</v>
      </c>
      <c r="O730" t="s">
        <v>54</v>
      </c>
      <c r="P730" t="s">
        <v>40</v>
      </c>
      <c r="Q730" s="2">
        <v>8637.5</v>
      </c>
    </row>
    <row r="731" spans="1:17" x14ac:dyDescent="0.2">
      <c r="A731" s="1">
        <v>43435</v>
      </c>
      <c r="B731">
        <v>43144</v>
      </c>
      <c r="C731" t="s">
        <v>80</v>
      </c>
      <c r="D731" t="s">
        <v>29</v>
      </c>
      <c r="E731" t="s">
        <v>30</v>
      </c>
      <c r="F731" s="5">
        <v>25</v>
      </c>
      <c r="G731" t="str">
        <f>IF(Data[[#This Row],[Age]]&lt;25,"Under 25",IF(Data[[#This Row],[Age]]&lt;35,"25–34",IF(Data[[#This Row],[Age]]&lt;45,"35–44",IF(Data[[#This Row],[Age]]&lt;55,"45–54","55+"))))</f>
        <v>25–34</v>
      </c>
      <c r="H731" t="s">
        <v>34</v>
      </c>
      <c r="I731" t="s">
        <v>18</v>
      </c>
      <c r="J731" t="s">
        <v>35</v>
      </c>
      <c r="K731" s="1">
        <v>41810</v>
      </c>
      <c r="M731" s="1" t="str">
        <f>IF(ISBLANK(Data[[#This Row],[EndDate]]),"Active","InActive")</f>
        <v>Active</v>
      </c>
      <c r="N731" t="s">
        <v>20</v>
      </c>
      <c r="O731" t="s">
        <v>54</v>
      </c>
      <c r="P731" t="s">
        <v>40</v>
      </c>
      <c r="Q731" s="2">
        <v>12012.5</v>
      </c>
    </row>
    <row r="732" spans="1:17" x14ac:dyDescent="0.2">
      <c r="A732" s="1">
        <v>43435</v>
      </c>
      <c r="B732">
        <v>51974</v>
      </c>
      <c r="C732" t="s">
        <v>79</v>
      </c>
      <c r="D732" t="s">
        <v>29</v>
      </c>
      <c r="E732" t="s">
        <v>36</v>
      </c>
      <c r="F732" s="5">
        <v>25</v>
      </c>
      <c r="G732" t="str">
        <f>IF(Data[[#This Row],[Age]]&lt;25,"Under 25",IF(Data[[#This Row],[Age]]&lt;35,"25–34",IF(Data[[#This Row],[Age]]&lt;45,"35–44",IF(Data[[#This Row],[Age]]&lt;55,"45–54","55+"))))</f>
        <v>25–34</v>
      </c>
      <c r="H732" t="s">
        <v>34</v>
      </c>
      <c r="I732" t="s">
        <v>18</v>
      </c>
      <c r="J732" t="s">
        <v>37</v>
      </c>
      <c r="K732" s="1">
        <v>40757</v>
      </c>
      <c r="M732" s="1" t="str">
        <f>IF(ISBLANK(Data[[#This Row],[EndDate]]),"Active","InActive")</f>
        <v>Active</v>
      </c>
      <c r="N732" t="s">
        <v>20</v>
      </c>
      <c r="O732" t="s">
        <v>54</v>
      </c>
      <c r="P732" t="s">
        <v>40</v>
      </c>
      <c r="Q732" s="2">
        <v>7162.5</v>
      </c>
    </row>
    <row r="733" spans="1:17" x14ac:dyDescent="0.2">
      <c r="A733" s="1">
        <v>43435</v>
      </c>
      <c r="B733">
        <v>54304</v>
      </c>
      <c r="C733" t="s">
        <v>80</v>
      </c>
      <c r="D733" t="s">
        <v>27</v>
      </c>
      <c r="E733" t="s">
        <v>74</v>
      </c>
      <c r="F733" s="5">
        <v>25</v>
      </c>
      <c r="G733" t="str">
        <f>IF(Data[[#This Row],[Age]]&lt;25,"Under 25",IF(Data[[#This Row],[Age]]&lt;35,"25–34",IF(Data[[#This Row],[Age]]&lt;45,"35–44",IF(Data[[#This Row],[Age]]&lt;55,"45–54","55+"))))</f>
        <v>25–34</v>
      </c>
      <c r="H733" t="s">
        <v>34</v>
      </c>
      <c r="I733" t="s">
        <v>18</v>
      </c>
      <c r="J733" t="s">
        <v>35</v>
      </c>
      <c r="K733" s="1">
        <v>40702</v>
      </c>
      <c r="M733" s="1" t="str">
        <f>IF(ISBLANK(Data[[#This Row],[EndDate]]),"Active","InActive")</f>
        <v>Active</v>
      </c>
      <c r="N733" t="s">
        <v>20</v>
      </c>
      <c r="O733" t="s">
        <v>54</v>
      </c>
      <c r="P733" t="s">
        <v>40</v>
      </c>
      <c r="Q733" s="2">
        <v>9775</v>
      </c>
    </row>
    <row r="734" spans="1:17" x14ac:dyDescent="0.2">
      <c r="A734" s="1">
        <v>42705</v>
      </c>
      <c r="B734">
        <v>43776</v>
      </c>
      <c r="C734" t="s">
        <v>80</v>
      </c>
      <c r="D734" t="s">
        <v>50</v>
      </c>
      <c r="E734" t="s">
        <v>55</v>
      </c>
      <c r="F734" s="5">
        <v>25</v>
      </c>
      <c r="G734" t="str">
        <f>IF(Data[[#This Row],[Age]]&lt;25,"Under 25",IF(Data[[#This Row],[Age]]&lt;35,"25–34",IF(Data[[#This Row],[Age]]&lt;45,"35–44",IF(Data[[#This Row],[Age]]&lt;55,"45–54","55+"))))</f>
        <v>25–34</v>
      </c>
      <c r="H734" t="s">
        <v>31</v>
      </c>
      <c r="I734" t="s">
        <v>18</v>
      </c>
      <c r="J734" t="s">
        <v>37</v>
      </c>
      <c r="K734" s="1">
        <v>38539</v>
      </c>
      <c r="M734" s="1" t="str">
        <f>IF(ISBLANK(Data[[#This Row],[EndDate]]),"Active","InActive")</f>
        <v>Active</v>
      </c>
      <c r="N734" t="s">
        <v>20</v>
      </c>
      <c r="O734" t="s">
        <v>54</v>
      </c>
      <c r="P734" t="s">
        <v>22</v>
      </c>
      <c r="Q734" s="2">
        <v>3975</v>
      </c>
    </row>
    <row r="735" spans="1:17" x14ac:dyDescent="0.2">
      <c r="A735" s="1">
        <v>42705</v>
      </c>
      <c r="B735">
        <v>44110</v>
      </c>
      <c r="C735" t="s">
        <v>80</v>
      </c>
      <c r="D735" t="s">
        <v>23</v>
      </c>
      <c r="E735" t="s">
        <v>24</v>
      </c>
      <c r="F735" s="5">
        <v>25</v>
      </c>
      <c r="G735" t="str">
        <f>IF(Data[[#This Row],[Age]]&lt;25,"Under 25",IF(Data[[#This Row],[Age]]&lt;35,"25–34",IF(Data[[#This Row],[Age]]&lt;45,"35–44",IF(Data[[#This Row],[Age]]&lt;55,"45–54","55+"))))</f>
        <v>25–34</v>
      </c>
      <c r="H735" t="s">
        <v>31</v>
      </c>
      <c r="I735" t="s">
        <v>18</v>
      </c>
      <c r="J735" t="s">
        <v>37</v>
      </c>
      <c r="K735" s="1">
        <v>39988</v>
      </c>
      <c r="M735" s="1" t="str">
        <f>IF(ISBLANK(Data[[#This Row],[EndDate]]),"Active","InActive")</f>
        <v>Active</v>
      </c>
      <c r="N735" t="s">
        <v>20</v>
      </c>
      <c r="O735" t="s">
        <v>54</v>
      </c>
      <c r="P735" t="s">
        <v>22</v>
      </c>
      <c r="Q735" s="2">
        <v>4237.5</v>
      </c>
    </row>
    <row r="736" spans="1:17" x14ac:dyDescent="0.2">
      <c r="A736" s="1">
        <v>42705</v>
      </c>
      <c r="B736">
        <v>92420</v>
      </c>
      <c r="C736" t="s">
        <v>80</v>
      </c>
      <c r="D736" t="s">
        <v>52</v>
      </c>
      <c r="E736" t="s">
        <v>67</v>
      </c>
      <c r="F736" s="5">
        <v>25</v>
      </c>
      <c r="G736" t="str">
        <f>IF(Data[[#This Row],[Age]]&lt;25,"Under 25",IF(Data[[#This Row],[Age]]&lt;35,"25–34",IF(Data[[#This Row],[Age]]&lt;45,"35–44",IF(Data[[#This Row],[Age]]&lt;55,"45–54","55+"))))</f>
        <v>25–34</v>
      </c>
      <c r="H736" t="s">
        <v>31</v>
      </c>
      <c r="I736" t="s">
        <v>56</v>
      </c>
      <c r="J736" t="s">
        <v>19</v>
      </c>
      <c r="K736" s="1">
        <v>38161</v>
      </c>
      <c r="M736" s="1" t="str">
        <f>IF(ISBLANK(Data[[#This Row],[EndDate]]),"Active","InActive")</f>
        <v>Active</v>
      </c>
      <c r="N736" t="s">
        <v>57</v>
      </c>
      <c r="O736" t="s">
        <v>54</v>
      </c>
      <c r="P736" t="s">
        <v>22</v>
      </c>
      <c r="Q736" s="2">
        <v>5587.5</v>
      </c>
    </row>
    <row r="737" spans="1:17" x14ac:dyDescent="0.2">
      <c r="A737" s="1">
        <v>42705</v>
      </c>
      <c r="B737">
        <v>107730</v>
      </c>
      <c r="C737" t="s">
        <v>80</v>
      </c>
      <c r="D737" t="s">
        <v>27</v>
      </c>
      <c r="E737" t="s">
        <v>74</v>
      </c>
      <c r="F737" s="5">
        <v>25</v>
      </c>
      <c r="G737" t="str">
        <f>IF(Data[[#This Row],[Age]]&lt;25,"Under 25",IF(Data[[#This Row],[Age]]&lt;35,"25–34",IF(Data[[#This Row],[Age]]&lt;45,"35–44",IF(Data[[#This Row],[Age]]&lt;55,"45–54","55+"))))</f>
        <v>25–34</v>
      </c>
      <c r="H737" t="s">
        <v>31</v>
      </c>
      <c r="I737" t="s">
        <v>18</v>
      </c>
      <c r="J737" t="s">
        <v>37</v>
      </c>
      <c r="K737" s="1">
        <v>39260</v>
      </c>
      <c r="M737" s="1" t="str">
        <f>IF(ISBLANK(Data[[#This Row],[EndDate]]),"Active","InActive")</f>
        <v>Active</v>
      </c>
      <c r="N737" t="s">
        <v>20</v>
      </c>
      <c r="O737" t="s">
        <v>54</v>
      </c>
      <c r="P737" t="s">
        <v>22</v>
      </c>
      <c r="Q737" s="2">
        <v>6062.5</v>
      </c>
    </row>
    <row r="738" spans="1:17" x14ac:dyDescent="0.2">
      <c r="A738" s="1">
        <v>42705</v>
      </c>
      <c r="B738">
        <v>16664</v>
      </c>
      <c r="C738" t="s">
        <v>80</v>
      </c>
      <c r="D738" t="s">
        <v>52</v>
      </c>
      <c r="E738" t="s">
        <v>67</v>
      </c>
      <c r="F738" s="5">
        <v>25</v>
      </c>
      <c r="G738" t="str">
        <f>IF(Data[[#This Row],[Age]]&lt;25,"Under 25",IF(Data[[#This Row],[Age]]&lt;35,"25–34",IF(Data[[#This Row],[Age]]&lt;45,"35–44",IF(Data[[#This Row],[Age]]&lt;55,"45–54","55+"))))</f>
        <v>25–34</v>
      </c>
      <c r="H738" t="s">
        <v>25</v>
      </c>
      <c r="I738" t="s">
        <v>18</v>
      </c>
      <c r="J738" t="s">
        <v>37</v>
      </c>
      <c r="K738" s="1">
        <v>39716</v>
      </c>
      <c r="M738" s="1" t="str">
        <f>IF(ISBLANK(Data[[#This Row],[EndDate]]),"Active","InActive")</f>
        <v>Active</v>
      </c>
      <c r="N738" t="s">
        <v>20</v>
      </c>
      <c r="O738" t="s">
        <v>54</v>
      </c>
      <c r="P738" t="s">
        <v>22</v>
      </c>
      <c r="Q738" s="2">
        <v>8525</v>
      </c>
    </row>
    <row r="739" spans="1:17" x14ac:dyDescent="0.2">
      <c r="A739" s="1">
        <v>42705</v>
      </c>
      <c r="B739">
        <v>43380</v>
      </c>
      <c r="C739" t="s">
        <v>80</v>
      </c>
      <c r="D739" t="s">
        <v>43</v>
      </c>
      <c r="E739" t="s">
        <v>66</v>
      </c>
      <c r="F739" s="5">
        <v>25</v>
      </c>
      <c r="G739" t="str">
        <f>IF(Data[[#This Row],[Age]]&lt;25,"Under 25",IF(Data[[#This Row],[Age]]&lt;35,"25–34",IF(Data[[#This Row],[Age]]&lt;45,"35–44",IF(Data[[#This Row],[Age]]&lt;55,"45–54","55+"))))</f>
        <v>25–34</v>
      </c>
      <c r="H739" t="s">
        <v>59</v>
      </c>
      <c r="I739" t="s">
        <v>18</v>
      </c>
      <c r="J739" t="s">
        <v>37</v>
      </c>
      <c r="K739" s="1">
        <v>41095</v>
      </c>
      <c r="L739" s="1">
        <v>41130</v>
      </c>
      <c r="M739" s="1" t="str">
        <f>IF(ISBLANK(Data[[#This Row],[EndDate]]),"Active","InActive")</f>
        <v>InActive</v>
      </c>
      <c r="N739" t="s">
        <v>20</v>
      </c>
      <c r="O739" t="s">
        <v>54</v>
      </c>
      <c r="P739" t="s">
        <v>22</v>
      </c>
      <c r="Q739" s="2">
        <v>4412.5</v>
      </c>
    </row>
    <row r="740" spans="1:17" x14ac:dyDescent="0.2">
      <c r="A740" s="1">
        <v>42705</v>
      </c>
      <c r="B740">
        <v>52934</v>
      </c>
      <c r="C740" t="s">
        <v>80</v>
      </c>
      <c r="D740" t="s">
        <v>41</v>
      </c>
      <c r="E740" t="s">
        <v>62</v>
      </c>
      <c r="F740" s="5">
        <v>25</v>
      </c>
      <c r="G740" t="str">
        <f>IF(Data[[#This Row],[Age]]&lt;25,"Under 25",IF(Data[[#This Row],[Age]]&lt;35,"25–34",IF(Data[[#This Row],[Age]]&lt;45,"35–44",IF(Data[[#This Row],[Age]]&lt;55,"45–54","55+"))))</f>
        <v>25–34</v>
      </c>
      <c r="H740" t="s">
        <v>46</v>
      </c>
      <c r="I740" t="s">
        <v>18</v>
      </c>
      <c r="J740" t="s">
        <v>37</v>
      </c>
      <c r="K740" s="1">
        <v>39186</v>
      </c>
      <c r="M740" s="1" t="str">
        <f>IF(ISBLANK(Data[[#This Row],[EndDate]]),"Active","InActive")</f>
        <v>Active</v>
      </c>
      <c r="N740" t="s">
        <v>20</v>
      </c>
      <c r="O740" t="s">
        <v>54</v>
      </c>
      <c r="P740" t="s">
        <v>22</v>
      </c>
      <c r="Q740" s="2">
        <v>1600</v>
      </c>
    </row>
    <row r="741" spans="1:17" x14ac:dyDescent="0.2">
      <c r="A741" s="1">
        <v>42705</v>
      </c>
      <c r="B741">
        <v>116032</v>
      </c>
      <c r="C741" t="s">
        <v>79</v>
      </c>
      <c r="D741" t="s">
        <v>38</v>
      </c>
      <c r="E741" t="s">
        <v>61</v>
      </c>
      <c r="F741" s="5">
        <v>25</v>
      </c>
      <c r="G741" t="str">
        <f>IF(Data[[#This Row],[Age]]&lt;25,"Under 25",IF(Data[[#This Row],[Age]]&lt;35,"25–34",IF(Data[[#This Row],[Age]]&lt;45,"35–44",IF(Data[[#This Row],[Age]]&lt;55,"45–54","55+"))))</f>
        <v>25–34</v>
      </c>
      <c r="H741" t="s">
        <v>25</v>
      </c>
      <c r="I741" t="s">
        <v>56</v>
      </c>
      <c r="J741" t="s">
        <v>37</v>
      </c>
      <c r="K741" s="1">
        <v>38847</v>
      </c>
      <c r="M741" s="1" t="str">
        <f>IF(ISBLANK(Data[[#This Row],[EndDate]]),"Active","InActive")</f>
        <v>Active</v>
      </c>
      <c r="N741" t="s">
        <v>57</v>
      </c>
      <c r="O741" t="s">
        <v>54</v>
      </c>
      <c r="P741" t="s">
        <v>22</v>
      </c>
      <c r="Q741" s="2">
        <v>11600</v>
      </c>
    </row>
    <row r="742" spans="1:17" x14ac:dyDescent="0.2">
      <c r="A742" s="1">
        <v>43070</v>
      </c>
      <c r="B742">
        <v>43440</v>
      </c>
      <c r="C742" t="s">
        <v>79</v>
      </c>
      <c r="D742" t="s">
        <v>27</v>
      </c>
      <c r="E742" t="s">
        <v>72</v>
      </c>
      <c r="F742" s="5">
        <v>25</v>
      </c>
      <c r="G742" t="str">
        <f>IF(Data[[#This Row],[Age]]&lt;25,"Under 25",IF(Data[[#This Row],[Age]]&lt;35,"25–34",IF(Data[[#This Row],[Age]]&lt;45,"35–44",IF(Data[[#This Row],[Age]]&lt;55,"45–54","55+"))))</f>
        <v>25–34</v>
      </c>
      <c r="H742" t="s">
        <v>17</v>
      </c>
      <c r="I742" t="s">
        <v>56</v>
      </c>
      <c r="J742" t="s">
        <v>37</v>
      </c>
      <c r="K742" s="1">
        <v>39233</v>
      </c>
      <c r="M742" s="1" t="str">
        <f>IF(ISBLANK(Data[[#This Row],[EndDate]]),"Active","InActive")</f>
        <v>Active</v>
      </c>
      <c r="N742" t="s">
        <v>57</v>
      </c>
      <c r="O742" t="s">
        <v>54</v>
      </c>
      <c r="P742" t="s">
        <v>32</v>
      </c>
      <c r="Q742" s="2">
        <v>9000</v>
      </c>
    </row>
    <row r="743" spans="1:17" x14ac:dyDescent="0.2">
      <c r="A743" s="1">
        <v>43070</v>
      </c>
      <c r="B743">
        <v>43538</v>
      </c>
      <c r="C743" t="s">
        <v>80</v>
      </c>
      <c r="D743" t="s">
        <v>27</v>
      </c>
      <c r="E743" t="s">
        <v>72</v>
      </c>
      <c r="F743" s="5">
        <v>25</v>
      </c>
      <c r="G743" t="str">
        <f>IF(Data[[#This Row],[Age]]&lt;25,"Under 25",IF(Data[[#This Row],[Age]]&lt;35,"25–34",IF(Data[[#This Row],[Age]]&lt;45,"35–44",IF(Data[[#This Row],[Age]]&lt;55,"45–54","55+"))))</f>
        <v>25–34</v>
      </c>
      <c r="H743" t="s">
        <v>59</v>
      </c>
      <c r="I743" t="s">
        <v>18</v>
      </c>
      <c r="J743" t="s">
        <v>37</v>
      </c>
      <c r="K743" s="1">
        <v>39611</v>
      </c>
      <c r="M743" s="1" t="str">
        <f>IF(ISBLANK(Data[[#This Row],[EndDate]]),"Active","InActive")</f>
        <v>Active</v>
      </c>
      <c r="N743" t="s">
        <v>20</v>
      </c>
      <c r="O743" t="s">
        <v>54</v>
      </c>
      <c r="P743" t="s">
        <v>32</v>
      </c>
      <c r="Q743" s="2">
        <v>4837.5</v>
      </c>
    </row>
    <row r="744" spans="1:17" x14ac:dyDescent="0.2">
      <c r="A744" s="1">
        <v>43435</v>
      </c>
      <c r="B744">
        <v>43610</v>
      </c>
      <c r="C744" t="s">
        <v>80</v>
      </c>
      <c r="D744" t="s">
        <v>38</v>
      </c>
      <c r="E744" t="s">
        <v>39</v>
      </c>
      <c r="F744" s="5">
        <v>25</v>
      </c>
      <c r="G744" t="str">
        <f>IF(Data[[#This Row],[Age]]&lt;25,"Under 25",IF(Data[[#This Row],[Age]]&lt;35,"25–34",IF(Data[[#This Row],[Age]]&lt;45,"35–44",IF(Data[[#This Row],[Age]]&lt;55,"45–54","55+"))))</f>
        <v>25–34</v>
      </c>
      <c r="H744" t="s">
        <v>59</v>
      </c>
      <c r="I744" t="s">
        <v>18</v>
      </c>
      <c r="J744" t="s">
        <v>37</v>
      </c>
      <c r="K744" s="1">
        <v>39161</v>
      </c>
      <c r="M744" s="1" t="str">
        <f>IF(ISBLANK(Data[[#This Row],[EndDate]]),"Active","InActive")</f>
        <v>Active</v>
      </c>
      <c r="N744" t="s">
        <v>20</v>
      </c>
      <c r="O744" t="s">
        <v>54</v>
      </c>
      <c r="P744" t="s">
        <v>40</v>
      </c>
      <c r="Q744" s="2">
        <v>2550</v>
      </c>
    </row>
    <row r="745" spans="1:17" x14ac:dyDescent="0.2">
      <c r="A745" s="1">
        <v>43070</v>
      </c>
      <c r="B745">
        <v>1924</v>
      </c>
      <c r="C745" t="s">
        <v>80</v>
      </c>
      <c r="D745" t="s">
        <v>41</v>
      </c>
      <c r="E745" t="s">
        <v>42</v>
      </c>
      <c r="F745" s="5">
        <v>25</v>
      </c>
      <c r="G745" t="str">
        <f>IF(Data[[#This Row],[Age]]&lt;25,"Under 25",IF(Data[[#This Row],[Age]]&lt;35,"25–34",IF(Data[[#This Row],[Age]]&lt;45,"35–44",IF(Data[[#This Row],[Age]]&lt;55,"45–54","55+"))))</f>
        <v>25–34</v>
      </c>
      <c r="H745" t="s">
        <v>17</v>
      </c>
      <c r="I745" t="s">
        <v>18</v>
      </c>
      <c r="J745" t="s">
        <v>37</v>
      </c>
      <c r="K745" s="1">
        <v>40913</v>
      </c>
      <c r="M745" s="1" t="str">
        <f>IF(ISBLANK(Data[[#This Row],[EndDate]]),"Active","InActive")</f>
        <v>Active</v>
      </c>
      <c r="N745" t="s">
        <v>20</v>
      </c>
      <c r="O745" t="s">
        <v>54</v>
      </c>
      <c r="P745" t="s">
        <v>32</v>
      </c>
      <c r="Q745" s="2">
        <v>4187.5</v>
      </c>
    </row>
    <row r="746" spans="1:17" x14ac:dyDescent="0.2">
      <c r="A746" s="1">
        <v>43070</v>
      </c>
      <c r="B746">
        <v>7754</v>
      </c>
      <c r="C746" t="s">
        <v>79</v>
      </c>
      <c r="D746" t="s">
        <v>29</v>
      </c>
      <c r="E746" t="s">
        <v>36</v>
      </c>
      <c r="F746" s="5">
        <v>25</v>
      </c>
      <c r="G746" t="str">
        <f>IF(Data[[#This Row],[Age]]&lt;25,"Under 25",IF(Data[[#This Row],[Age]]&lt;35,"25–34",IF(Data[[#This Row],[Age]]&lt;45,"35–44",IF(Data[[#This Row],[Age]]&lt;55,"45–54","55+"))))</f>
        <v>25–34</v>
      </c>
      <c r="H746" t="s">
        <v>17</v>
      </c>
      <c r="I746" t="s">
        <v>18</v>
      </c>
      <c r="J746" t="s">
        <v>37</v>
      </c>
      <c r="K746" s="1">
        <v>41608</v>
      </c>
      <c r="M746" s="1" t="str">
        <f>IF(ISBLANK(Data[[#This Row],[EndDate]]),"Active","InActive")</f>
        <v>Active</v>
      </c>
      <c r="N746" t="s">
        <v>20</v>
      </c>
      <c r="O746" t="s">
        <v>54</v>
      </c>
      <c r="P746" t="s">
        <v>32</v>
      </c>
      <c r="Q746" s="2">
        <v>3512.5</v>
      </c>
    </row>
    <row r="747" spans="1:17" x14ac:dyDescent="0.2">
      <c r="A747" s="1">
        <v>43070</v>
      </c>
      <c r="B747">
        <v>11036</v>
      </c>
      <c r="C747" t="s">
        <v>80</v>
      </c>
      <c r="D747" t="s">
        <v>47</v>
      </c>
      <c r="E747" t="s">
        <v>73</v>
      </c>
      <c r="F747" s="5">
        <v>25</v>
      </c>
      <c r="G747" t="str">
        <f>IF(Data[[#This Row],[Age]]&lt;25,"Under 25",IF(Data[[#This Row],[Age]]&lt;35,"25–34",IF(Data[[#This Row],[Age]]&lt;45,"35–44",IF(Data[[#This Row],[Age]]&lt;55,"45–54","55+"))))</f>
        <v>25–34</v>
      </c>
      <c r="H747" t="s">
        <v>31</v>
      </c>
      <c r="I747" t="s">
        <v>18</v>
      </c>
      <c r="J747" t="s">
        <v>35</v>
      </c>
      <c r="K747" s="1">
        <v>41591</v>
      </c>
      <c r="M747" s="1" t="str">
        <f>IF(ISBLANK(Data[[#This Row],[EndDate]]),"Active","InActive")</f>
        <v>Active</v>
      </c>
      <c r="N747" t="s">
        <v>20</v>
      </c>
      <c r="O747" t="s">
        <v>54</v>
      </c>
      <c r="P747" t="s">
        <v>32</v>
      </c>
      <c r="Q747" s="2">
        <v>10937.5</v>
      </c>
    </row>
    <row r="748" spans="1:17" x14ac:dyDescent="0.2">
      <c r="A748" s="1">
        <v>43070</v>
      </c>
      <c r="B748">
        <v>25640</v>
      </c>
      <c r="C748" t="s">
        <v>80</v>
      </c>
      <c r="D748" t="s">
        <v>27</v>
      </c>
      <c r="E748" t="s">
        <v>28</v>
      </c>
      <c r="F748" s="5">
        <v>25</v>
      </c>
      <c r="G748" t="str">
        <f>IF(Data[[#This Row],[Age]]&lt;25,"Under 25",IF(Data[[#This Row],[Age]]&lt;35,"25–34",IF(Data[[#This Row],[Age]]&lt;45,"35–44",IF(Data[[#This Row],[Age]]&lt;55,"45–54","55+"))))</f>
        <v>25–34</v>
      </c>
      <c r="H748" t="s">
        <v>31</v>
      </c>
      <c r="I748" t="s">
        <v>18</v>
      </c>
      <c r="J748" t="s">
        <v>26</v>
      </c>
      <c r="K748" s="1">
        <v>41145</v>
      </c>
      <c r="M748" s="1" t="str">
        <f>IF(ISBLANK(Data[[#This Row],[EndDate]]),"Active","InActive")</f>
        <v>Active</v>
      </c>
      <c r="N748" t="s">
        <v>20</v>
      </c>
      <c r="O748" t="s">
        <v>54</v>
      </c>
      <c r="P748" t="s">
        <v>32</v>
      </c>
      <c r="Q748" s="2">
        <v>4737.5</v>
      </c>
    </row>
    <row r="749" spans="1:17" x14ac:dyDescent="0.2">
      <c r="A749" s="1">
        <v>43070</v>
      </c>
      <c r="B749">
        <v>30152</v>
      </c>
      <c r="C749" t="s">
        <v>79</v>
      </c>
      <c r="D749" t="s">
        <v>41</v>
      </c>
      <c r="E749" t="s">
        <v>62</v>
      </c>
      <c r="F749" s="5">
        <v>25</v>
      </c>
      <c r="G749" t="str">
        <f>IF(Data[[#This Row],[Age]]&lt;25,"Under 25",IF(Data[[#This Row],[Age]]&lt;35,"25–34",IF(Data[[#This Row],[Age]]&lt;45,"35–44",IF(Data[[#This Row],[Age]]&lt;55,"45–54","55+"))))</f>
        <v>25–34</v>
      </c>
      <c r="H749" t="s">
        <v>49</v>
      </c>
      <c r="I749" t="s">
        <v>18</v>
      </c>
      <c r="J749" t="s">
        <v>37</v>
      </c>
      <c r="K749" s="1">
        <v>41605</v>
      </c>
      <c r="M749" s="1" t="str">
        <f>IF(ISBLANK(Data[[#This Row],[EndDate]]),"Active","InActive")</f>
        <v>Active</v>
      </c>
      <c r="N749" t="s">
        <v>20</v>
      </c>
      <c r="O749" t="s">
        <v>54</v>
      </c>
      <c r="P749" t="s">
        <v>32</v>
      </c>
      <c r="Q749" s="2">
        <v>5187.5</v>
      </c>
    </row>
    <row r="750" spans="1:17" x14ac:dyDescent="0.2">
      <c r="A750" s="1">
        <v>43070</v>
      </c>
      <c r="B750">
        <v>9102</v>
      </c>
      <c r="C750" t="s">
        <v>79</v>
      </c>
      <c r="D750" t="s">
        <v>27</v>
      </c>
      <c r="E750" t="s">
        <v>72</v>
      </c>
      <c r="F750" s="5">
        <v>25</v>
      </c>
      <c r="G750" t="str">
        <f>IF(Data[[#This Row],[Age]]&lt;25,"Under 25",IF(Data[[#This Row],[Age]]&lt;35,"25–34",IF(Data[[#This Row],[Age]]&lt;45,"35–44",IF(Data[[#This Row],[Age]]&lt;55,"45–54","55+"))))</f>
        <v>25–34</v>
      </c>
      <c r="H750" t="s">
        <v>46</v>
      </c>
      <c r="I750" t="s">
        <v>18</v>
      </c>
      <c r="J750" t="s">
        <v>37</v>
      </c>
      <c r="K750" s="1">
        <v>41606</v>
      </c>
      <c r="M750" s="1" t="str">
        <f>IF(ISBLANK(Data[[#This Row],[EndDate]]),"Active","InActive")</f>
        <v>Active</v>
      </c>
      <c r="N750" t="s">
        <v>20</v>
      </c>
      <c r="O750" t="s">
        <v>54</v>
      </c>
      <c r="P750" t="s">
        <v>32</v>
      </c>
      <c r="Q750" s="2">
        <v>9612.5</v>
      </c>
    </row>
    <row r="751" spans="1:17" x14ac:dyDescent="0.2">
      <c r="A751" s="1">
        <v>43070</v>
      </c>
      <c r="B751">
        <v>23538</v>
      </c>
      <c r="C751" t="s">
        <v>80</v>
      </c>
      <c r="D751" t="s">
        <v>27</v>
      </c>
      <c r="E751" t="s">
        <v>72</v>
      </c>
      <c r="F751" s="5">
        <v>25</v>
      </c>
      <c r="G751" t="str">
        <f>IF(Data[[#This Row],[Age]]&lt;25,"Under 25",IF(Data[[#This Row],[Age]]&lt;35,"25–34",IF(Data[[#This Row],[Age]]&lt;45,"35–44",IF(Data[[#This Row],[Age]]&lt;55,"45–54","55+"))))</f>
        <v>25–34</v>
      </c>
      <c r="H751" t="s">
        <v>17</v>
      </c>
      <c r="I751" t="s">
        <v>18</v>
      </c>
      <c r="J751" t="s">
        <v>37</v>
      </c>
      <c r="K751" s="1">
        <v>41606</v>
      </c>
      <c r="L751" s="1">
        <v>41706</v>
      </c>
      <c r="M751" s="1" t="str">
        <f>IF(ISBLANK(Data[[#This Row],[EndDate]]),"Active","InActive")</f>
        <v>InActive</v>
      </c>
      <c r="N751" t="s">
        <v>20</v>
      </c>
      <c r="O751" t="s">
        <v>54</v>
      </c>
      <c r="P751" t="s">
        <v>32</v>
      </c>
      <c r="Q751" s="2">
        <v>6337.5</v>
      </c>
    </row>
    <row r="752" spans="1:17" x14ac:dyDescent="0.2">
      <c r="A752" s="1">
        <v>42705</v>
      </c>
      <c r="B752">
        <v>33812</v>
      </c>
      <c r="C752" t="s">
        <v>80</v>
      </c>
      <c r="D752" t="s">
        <v>43</v>
      </c>
      <c r="E752" t="s">
        <v>66</v>
      </c>
      <c r="F752" s="5">
        <v>26</v>
      </c>
      <c r="G752" t="str">
        <f>IF(Data[[#This Row],[Age]]&lt;25,"Under 25",IF(Data[[#This Row],[Age]]&lt;35,"25–34",IF(Data[[#This Row],[Age]]&lt;45,"35–44",IF(Data[[#This Row],[Age]]&lt;55,"45–54","55+"))))</f>
        <v>25–34</v>
      </c>
      <c r="H752" t="s">
        <v>46</v>
      </c>
      <c r="I752" t="s">
        <v>18</v>
      </c>
      <c r="J752" t="s">
        <v>37</v>
      </c>
      <c r="K752" s="1">
        <v>40921</v>
      </c>
      <c r="M752" s="1" t="str">
        <f>IF(ISBLANK(Data[[#This Row],[EndDate]]),"Active","InActive")</f>
        <v>Active</v>
      </c>
      <c r="N752" t="s">
        <v>20</v>
      </c>
      <c r="O752" t="s">
        <v>54</v>
      </c>
      <c r="P752" t="s">
        <v>22</v>
      </c>
      <c r="Q752" s="2">
        <v>12636</v>
      </c>
    </row>
    <row r="753" spans="1:17" x14ac:dyDescent="0.2">
      <c r="A753" s="1">
        <v>42705</v>
      </c>
      <c r="B753">
        <v>110116</v>
      </c>
      <c r="C753" t="s">
        <v>80</v>
      </c>
      <c r="D753" t="s">
        <v>29</v>
      </c>
      <c r="E753" t="s">
        <v>30</v>
      </c>
      <c r="F753" s="5">
        <v>26</v>
      </c>
      <c r="G753" t="str">
        <f>IF(Data[[#This Row],[Age]]&lt;25,"Under 25",IF(Data[[#This Row],[Age]]&lt;35,"25–34",IF(Data[[#This Row],[Age]]&lt;45,"35–44",IF(Data[[#This Row],[Age]]&lt;55,"45–54","55+"))))</f>
        <v>25–34</v>
      </c>
      <c r="H753" t="s">
        <v>31</v>
      </c>
      <c r="I753" t="s">
        <v>18</v>
      </c>
      <c r="J753" t="s">
        <v>37</v>
      </c>
      <c r="K753" s="1">
        <v>41217</v>
      </c>
      <c r="M753" s="1" t="str">
        <f>IF(ISBLANK(Data[[#This Row],[EndDate]]),"Active","InActive")</f>
        <v>Active</v>
      </c>
      <c r="N753" t="s">
        <v>20</v>
      </c>
      <c r="O753" t="s">
        <v>54</v>
      </c>
      <c r="P753" t="s">
        <v>22</v>
      </c>
      <c r="Q753" s="2">
        <v>1326</v>
      </c>
    </row>
    <row r="754" spans="1:17" x14ac:dyDescent="0.2">
      <c r="A754" s="1">
        <v>43070</v>
      </c>
      <c r="B754">
        <v>43776</v>
      </c>
      <c r="C754" t="s">
        <v>80</v>
      </c>
      <c r="D754" t="s">
        <v>50</v>
      </c>
      <c r="E754" t="s">
        <v>55</v>
      </c>
      <c r="F754" s="5">
        <v>26</v>
      </c>
      <c r="G754" t="str">
        <f>IF(Data[[#This Row],[Age]]&lt;25,"Under 25",IF(Data[[#This Row],[Age]]&lt;35,"25–34",IF(Data[[#This Row],[Age]]&lt;45,"35–44",IF(Data[[#This Row],[Age]]&lt;55,"45–54","55+"))))</f>
        <v>25–34</v>
      </c>
      <c r="H754" t="s">
        <v>31</v>
      </c>
      <c r="I754" t="s">
        <v>18</v>
      </c>
      <c r="J754" t="s">
        <v>37</v>
      </c>
      <c r="K754" s="1">
        <v>38539</v>
      </c>
      <c r="M754" s="1" t="str">
        <f>IF(ISBLANK(Data[[#This Row],[EndDate]]),"Active","InActive")</f>
        <v>Active</v>
      </c>
      <c r="N754" t="s">
        <v>20</v>
      </c>
      <c r="O754" t="s">
        <v>54</v>
      </c>
      <c r="P754" t="s">
        <v>32</v>
      </c>
      <c r="Q754" s="2">
        <v>9503</v>
      </c>
    </row>
    <row r="755" spans="1:17" x14ac:dyDescent="0.2">
      <c r="A755" s="1">
        <v>43070</v>
      </c>
      <c r="B755">
        <v>44110</v>
      </c>
      <c r="C755" t="s">
        <v>80</v>
      </c>
      <c r="D755" t="s">
        <v>23</v>
      </c>
      <c r="E755" t="s">
        <v>24</v>
      </c>
      <c r="F755" s="5">
        <v>26</v>
      </c>
      <c r="G755" t="str">
        <f>IF(Data[[#This Row],[Age]]&lt;25,"Under 25",IF(Data[[#This Row],[Age]]&lt;35,"25–34",IF(Data[[#This Row],[Age]]&lt;45,"35–44",IF(Data[[#This Row],[Age]]&lt;55,"45–54","55+"))))</f>
        <v>25–34</v>
      </c>
      <c r="H755" t="s">
        <v>31</v>
      </c>
      <c r="I755" t="s">
        <v>18</v>
      </c>
      <c r="J755" t="s">
        <v>37</v>
      </c>
      <c r="K755" s="1">
        <v>39988</v>
      </c>
      <c r="M755" s="1" t="str">
        <f>IF(ISBLANK(Data[[#This Row],[EndDate]]),"Active","InActive")</f>
        <v>Active</v>
      </c>
      <c r="N755" t="s">
        <v>20</v>
      </c>
      <c r="O755" t="s">
        <v>54</v>
      </c>
      <c r="P755" t="s">
        <v>32</v>
      </c>
      <c r="Q755" s="2">
        <v>3263</v>
      </c>
    </row>
    <row r="756" spans="1:17" x14ac:dyDescent="0.2">
      <c r="A756" s="1">
        <v>43435</v>
      </c>
      <c r="B756">
        <v>41332</v>
      </c>
      <c r="C756" t="s">
        <v>80</v>
      </c>
      <c r="D756" t="s">
        <v>41</v>
      </c>
      <c r="E756" t="s">
        <v>68</v>
      </c>
      <c r="F756" s="5">
        <v>26</v>
      </c>
      <c r="G756" t="str">
        <f>IF(Data[[#This Row],[Age]]&lt;25,"Under 25",IF(Data[[#This Row],[Age]]&lt;35,"25–34",IF(Data[[#This Row],[Age]]&lt;45,"35–44",IF(Data[[#This Row],[Age]]&lt;55,"45–54","55+"))))</f>
        <v>25–34</v>
      </c>
      <c r="H756" t="s">
        <v>17</v>
      </c>
      <c r="I756" t="s">
        <v>56</v>
      </c>
      <c r="J756" t="s">
        <v>37</v>
      </c>
      <c r="K756" s="1">
        <v>40106</v>
      </c>
      <c r="M756" s="1" t="str">
        <f>IF(ISBLANK(Data[[#This Row],[EndDate]]),"Active","InActive")</f>
        <v>Active</v>
      </c>
      <c r="N756" t="s">
        <v>57</v>
      </c>
      <c r="O756" t="s">
        <v>54</v>
      </c>
      <c r="P756" t="s">
        <v>40</v>
      </c>
      <c r="Q756" s="2">
        <v>11284</v>
      </c>
    </row>
    <row r="757" spans="1:17" x14ac:dyDescent="0.2">
      <c r="A757" s="1">
        <v>43435</v>
      </c>
      <c r="B757">
        <v>43796</v>
      </c>
      <c r="C757" t="s">
        <v>79</v>
      </c>
      <c r="D757" t="s">
        <v>29</v>
      </c>
      <c r="E757" t="s">
        <v>36</v>
      </c>
      <c r="F757" s="5">
        <v>26</v>
      </c>
      <c r="G757" t="str">
        <f>IF(Data[[#This Row],[Age]]&lt;25,"Under 25",IF(Data[[#This Row],[Age]]&lt;35,"25–34",IF(Data[[#This Row],[Age]]&lt;45,"35–44",IF(Data[[#This Row],[Age]]&lt;55,"45–54","55+"))))</f>
        <v>25–34</v>
      </c>
      <c r="H757" t="s">
        <v>49</v>
      </c>
      <c r="I757" t="s">
        <v>56</v>
      </c>
      <c r="J757" t="s">
        <v>37</v>
      </c>
      <c r="K757" s="1">
        <v>41717</v>
      </c>
      <c r="M757" s="1" t="str">
        <f>IF(ISBLANK(Data[[#This Row],[EndDate]]),"Active","InActive")</f>
        <v>Active</v>
      </c>
      <c r="N757" t="s">
        <v>57</v>
      </c>
      <c r="O757" t="s">
        <v>54</v>
      </c>
      <c r="P757" t="s">
        <v>40</v>
      </c>
      <c r="Q757" s="2">
        <v>6357</v>
      </c>
    </row>
    <row r="758" spans="1:17" x14ac:dyDescent="0.2">
      <c r="A758" s="1">
        <v>42705</v>
      </c>
      <c r="B758">
        <v>49444</v>
      </c>
      <c r="C758" t="s">
        <v>80</v>
      </c>
      <c r="D758" t="s">
        <v>38</v>
      </c>
      <c r="E758" t="s">
        <v>39</v>
      </c>
      <c r="F758" s="5">
        <v>26</v>
      </c>
      <c r="G758" t="str">
        <f>IF(Data[[#This Row],[Age]]&lt;25,"Under 25",IF(Data[[#This Row],[Age]]&lt;35,"25–34",IF(Data[[#This Row],[Age]]&lt;45,"35–44",IF(Data[[#This Row],[Age]]&lt;55,"45–54","55+"))))</f>
        <v>25–34</v>
      </c>
      <c r="H758" t="s">
        <v>25</v>
      </c>
      <c r="I758" t="s">
        <v>18</v>
      </c>
      <c r="J758" t="s">
        <v>35</v>
      </c>
      <c r="K758" s="1">
        <v>41173</v>
      </c>
      <c r="M758" s="1" t="str">
        <f>IF(ISBLANK(Data[[#This Row],[EndDate]]),"Active","InActive")</f>
        <v>Active</v>
      </c>
      <c r="N758" t="s">
        <v>20</v>
      </c>
      <c r="O758" t="s">
        <v>54</v>
      </c>
      <c r="P758" t="s">
        <v>22</v>
      </c>
      <c r="Q758" s="2">
        <v>7826</v>
      </c>
    </row>
    <row r="759" spans="1:17" x14ac:dyDescent="0.2">
      <c r="A759" s="1">
        <v>42705</v>
      </c>
      <c r="B759">
        <v>51312</v>
      </c>
      <c r="C759" t="s">
        <v>80</v>
      </c>
      <c r="D759" t="s">
        <v>15</v>
      </c>
      <c r="E759" t="s">
        <v>16</v>
      </c>
      <c r="F759" s="5">
        <v>26</v>
      </c>
      <c r="G759" t="str">
        <f>IF(Data[[#This Row],[Age]]&lt;25,"Under 25",IF(Data[[#This Row],[Age]]&lt;35,"25–34",IF(Data[[#This Row],[Age]]&lt;45,"35–44",IF(Data[[#This Row],[Age]]&lt;55,"45–54","55+"))))</f>
        <v>25–34</v>
      </c>
      <c r="H759" t="s">
        <v>31</v>
      </c>
      <c r="I759" t="s">
        <v>56</v>
      </c>
      <c r="J759" t="s">
        <v>37</v>
      </c>
      <c r="K759" s="1">
        <v>38252</v>
      </c>
      <c r="M759" s="1" t="str">
        <f>IF(ISBLANK(Data[[#This Row],[EndDate]]),"Active","InActive")</f>
        <v>Active</v>
      </c>
      <c r="N759" t="s">
        <v>57</v>
      </c>
      <c r="O759" t="s">
        <v>54</v>
      </c>
      <c r="P759" t="s">
        <v>22</v>
      </c>
      <c r="Q759" s="2">
        <v>12974</v>
      </c>
    </row>
    <row r="760" spans="1:17" x14ac:dyDescent="0.2">
      <c r="A760" s="1">
        <v>42705</v>
      </c>
      <c r="B760">
        <v>53804</v>
      </c>
      <c r="C760" t="s">
        <v>79</v>
      </c>
      <c r="D760" t="s">
        <v>43</v>
      </c>
      <c r="E760" t="s">
        <v>44</v>
      </c>
      <c r="F760" s="5">
        <v>26</v>
      </c>
      <c r="G760" t="str">
        <f>IF(Data[[#This Row],[Age]]&lt;25,"Under 25",IF(Data[[#This Row],[Age]]&lt;35,"25–34",IF(Data[[#This Row],[Age]]&lt;45,"35–44",IF(Data[[#This Row],[Age]]&lt;55,"45–54","55+"))))</f>
        <v>25–34</v>
      </c>
      <c r="H760" t="s">
        <v>46</v>
      </c>
      <c r="I760" t="s">
        <v>56</v>
      </c>
      <c r="J760" t="s">
        <v>35</v>
      </c>
      <c r="K760" s="1">
        <v>38656</v>
      </c>
      <c r="M760" s="1" t="str">
        <f>IF(ISBLANK(Data[[#This Row],[EndDate]]),"Active","InActive")</f>
        <v>Active</v>
      </c>
      <c r="N760" t="s">
        <v>57</v>
      </c>
      <c r="O760" t="s">
        <v>54</v>
      </c>
      <c r="P760" t="s">
        <v>22</v>
      </c>
      <c r="Q760" s="2">
        <v>8242</v>
      </c>
    </row>
    <row r="761" spans="1:17" x14ac:dyDescent="0.2">
      <c r="A761" s="1">
        <v>42705</v>
      </c>
      <c r="B761">
        <v>109126</v>
      </c>
      <c r="C761" t="s">
        <v>80</v>
      </c>
      <c r="D761" t="s">
        <v>43</v>
      </c>
      <c r="E761" t="s">
        <v>60</v>
      </c>
      <c r="F761" s="5">
        <v>26</v>
      </c>
      <c r="G761" t="str">
        <f>IF(Data[[#This Row],[Age]]&lt;25,"Under 25",IF(Data[[#This Row],[Age]]&lt;35,"25–34",IF(Data[[#This Row],[Age]]&lt;45,"35–44",IF(Data[[#This Row],[Age]]&lt;55,"45–54","55+"))))</f>
        <v>25–34</v>
      </c>
      <c r="H761" t="s">
        <v>17</v>
      </c>
      <c r="I761" t="s">
        <v>18</v>
      </c>
      <c r="J761" t="s">
        <v>35</v>
      </c>
      <c r="K761" s="1">
        <v>40857</v>
      </c>
      <c r="M761" s="1" t="str">
        <f>IF(ISBLANK(Data[[#This Row],[EndDate]]),"Active","InActive")</f>
        <v>Active</v>
      </c>
      <c r="N761" t="s">
        <v>20</v>
      </c>
      <c r="O761" t="s">
        <v>54</v>
      </c>
      <c r="P761" t="s">
        <v>22</v>
      </c>
      <c r="Q761" s="2">
        <v>12233</v>
      </c>
    </row>
    <row r="762" spans="1:17" x14ac:dyDescent="0.2">
      <c r="A762" s="1">
        <v>42705</v>
      </c>
      <c r="B762">
        <v>110874</v>
      </c>
      <c r="C762" t="s">
        <v>80</v>
      </c>
      <c r="D762" t="s">
        <v>27</v>
      </c>
      <c r="E762" t="s">
        <v>74</v>
      </c>
      <c r="F762" s="5">
        <v>26</v>
      </c>
      <c r="G762" t="str">
        <f>IF(Data[[#This Row],[Age]]&lt;25,"Under 25",IF(Data[[#This Row],[Age]]&lt;35,"25–34",IF(Data[[#This Row],[Age]]&lt;45,"35–44",IF(Data[[#This Row],[Age]]&lt;55,"45–54","55+"))))</f>
        <v>25–34</v>
      </c>
      <c r="H762" t="s">
        <v>59</v>
      </c>
      <c r="I762" t="s">
        <v>18</v>
      </c>
      <c r="J762" t="s">
        <v>37</v>
      </c>
      <c r="K762" s="1">
        <v>40689</v>
      </c>
      <c r="M762" s="1" t="str">
        <f>IF(ISBLANK(Data[[#This Row],[EndDate]]),"Active","InActive")</f>
        <v>Active</v>
      </c>
      <c r="N762" t="s">
        <v>20</v>
      </c>
      <c r="O762" t="s">
        <v>54</v>
      </c>
      <c r="P762" t="s">
        <v>22</v>
      </c>
      <c r="Q762" s="2">
        <v>12324</v>
      </c>
    </row>
    <row r="763" spans="1:17" x14ac:dyDescent="0.2">
      <c r="A763" s="1">
        <v>43070</v>
      </c>
      <c r="B763">
        <v>4076</v>
      </c>
      <c r="C763" t="s">
        <v>79</v>
      </c>
      <c r="D763" t="s">
        <v>27</v>
      </c>
      <c r="E763" t="s">
        <v>28</v>
      </c>
      <c r="F763" s="5">
        <v>26</v>
      </c>
      <c r="G763" t="str">
        <f>IF(Data[[#This Row],[Age]]&lt;25,"Under 25",IF(Data[[#This Row],[Age]]&lt;35,"25–34",IF(Data[[#This Row],[Age]]&lt;45,"35–44",IF(Data[[#This Row],[Age]]&lt;55,"45–54","55+"))))</f>
        <v>25–34</v>
      </c>
      <c r="H763" t="s">
        <v>46</v>
      </c>
      <c r="I763" t="s">
        <v>18</v>
      </c>
      <c r="J763" t="s">
        <v>35</v>
      </c>
      <c r="K763" s="1">
        <v>41501</v>
      </c>
      <c r="M763" s="1" t="str">
        <f>IF(ISBLANK(Data[[#This Row],[EndDate]]),"Active","InActive")</f>
        <v>Active</v>
      </c>
      <c r="N763" t="s">
        <v>20</v>
      </c>
      <c r="O763" t="s">
        <v>54</v>
      </c>
      <c r="P763" t="s">
        <v>32</v>
      </c>
      <c r="Q763" s="2">
        <v>11752</v>
      </c>
    </row>
    <row r="764" spans="1:17" x14ac:dyDescent="0.2">
      <c r="A764" s="1">
        <v>43070</v>
      </c>
      <c r="B764">
        <v>21544</v>
      </c>
      <c r="C764" t="s">
        <v>79</v>
      </c>
      <c r="D764" t="s">
        <v>41</v>
      </c>
      <c r="E764" t="s">
        <v>62</v>
      </c>
      <c r="F764" s="5">
        <v>26</v>
      </c>
      <c r="G764" t="str">
        <f>IF(Data[[#This Row],[Age]]&lt;25,"Under 25",IF(Data[[#This Row],[Age]]&lt;35,"25–34",IF(Data[[#This Row],[Age]]&lt;45,"35–44",IF(Data[[#This Row],[Age]]&lt;55,"45–54","55+"))))</f>
        <v>25–34</v>
      </c>
      <c r="H764" t="s">
        <v>46</v>
      </c>
      <c r="I764" t="s">
        <v>18</v>
      </c>
      <c r="J764" t="s">
        <v>37</v>
      </c>
      <c r="K764" s="1">
        <v>40423</v>
      </c>
      <c r="M764" s="1" t="str">
        <f>IF(ISBLANK(Data[[#This Row],[EndDate]]),"Active","InActive")</f>
        <v>Active</v>
      </c>
      <c r="N764" t="s">
        <v>20</v>
      </c>
      <c r="O764" t="s">
        <v>54</v>
      </c>
      <c r="P764" t="s">
        <v>32</v>
      </c>
      <c r="Q764" s="2">
        <v>12311</v>
      </c>
    </row>
    <row r="765" spans="1:17" x14ac:dyDescent="0.2">
      <c r="A765" s="1">
        <v>43070</v>
      </c>
      <c r="B765">
        <v>28238</v>
      </c>
      <c r="C765" t="s">
        <v>79</v>
      </c>
      <c r="D765" t="s">
        <v>15</v>
      </c>
      <c r="E765" t="s">
        <v>16</v>
      </c>
      <c r="F765" s="5">
        <v>26</v>
      </c>
      <c r="G765" t="str">
        <f>IF(Data[[#This Row],[Age]]&lt;25,"Under 25",IF(Data[[#This Row],[Age]]&lt;35,"25–34",IF(Data[[#This Row],[Age]]&lt;45,"35–44",IF(Data[[#This Row],[Age]]&lt;55,"45–54","55+"))))</f>
        <v>25–34</v>
      </c>
      <c r="H765" t="s">
        <v>17</v>
      </c>
      <c r="I765" t="s">
        <v>18</v>
      </c>
      <c r="J765" t="s">
        <v>35</v>
      </c>
      <c r="K765" s="1">
        <v>41436</v>
      </c>
      <c r="M765" s="1" t="str">
        <f>IF(ISBLANK(Data[[#This Row],[EndDate]]),"Active","InActive")</f>
        <v>Active</v>
      </c>
      <c r="N765" t="s">
        <v>20</v>
      </c>
      <c r="O765" t="s">
        <v>54</v>
      </c>
      <c r="P765" t="s">
        <v>32</v>
      </c>
      <c r="Q765" s="2">
        <v>1560</v>
      </c>
    </row>
    <row r="766" spans="1:17" x14ac:dyDescent="0.2">
      <c r="A766" s="1">
        <v>43070</v>
      </c>
      <c r="B766">
        <v>29552</v>
      </c>
      <c r="C766" t="s">
        <v>79</v>
      </c>
      <c r="D766" t="s">
        <v>52</v>
      </c>
      <c r="E766" t="s">
        <v>53</v>
      </c>
      <c r="F766" s="5">
        <v>26</v>
      </c>
      <c r="G766" t="str">
        <f>IF(Data[[#This Row],[Age]]&lt;25,"Under 25",IF(Data[[#This Row],[Age]]&lt;35,"25–34",IF(Data[[#This Row],[Age]]&lt;45,"35–44",IF(Data[[#This Row],[Age]]&lt;55,"45–54","55+"))))</f>
        <v>25–34</v>
      </c>
      <c r="H766" t="s">
        <v>46</v>
      </c>
      <c r="I766" t="s">
        <v>18</v>
      </c>
      <c r="J766" t="s">
        <v>26</v>
      </c>
      <c r="K766" s="1">
        <v>41348</v>
      </c>
      <c r="M766" s="1" t="str">
        <f>IF(ISBLANK(Data[[#This Row],[EndDate]]),"Active","InActive")</f>
        <v>Active</v>
      </c>
      <c r="N766" t="s">
        <v>20</v>
      </c>
      <c r="O766" t="s">
        <v>54</v>
      </c>
      <c r="P766" t="s">
        <v>32</v>
      </c>
      <c r="Q766" s="2">
        <v>11531</v>
      </c>
    </row>
    <row r="767" spans="1:17" x14ac:dyDescent="0.2">
      <c r="A767" s="1">
        <v>43070</v>
      </c>
      <c r="B767">
        <v>50340</v>
      </c>
      <c r="C767" t="s">
        <v>79</v>
      </c>
      <c r="D767" t="s">
        <v>15</v>
      </c>
      <c r="E767" t="s">
        <v>16</v>
      </c>
      <c r="F767" s="5">
        <v>26</v>
      </c>
      <c r="G767" t="str">
        <f>IF(Data[[#This Row],[Age]]&lt;25,"Under 25",IF(Data[[#This Row],[Age]]&lt;35,"25–34",IF(Data[[#This Row],[Age]]&lt;45,"35–44",IF(Data[[#This Row],[Age]]&lt;55,"45–54","55+"))))</f>
        <v>25–34</v>
      </c>
      <c r="H767" t="s">
        <v>25</v>
      </c>
      <c r="I767" t="s">
        <v>56</v>
      </c>
      <c r="J767" t="s">
        <v>37</v>
      </c>
      <c r="K767" s="1">
        <v>41084</v>
      </c>
      <c r="M767" s="1" t="str">
        <f>IF(ISBLANK(Data[[#This Row],[EndDate]]),"Active","InActive")</f>
        <v>Active</v>
      </c>
      <c r="N767" t="s">
        <v>57</v>
      </c>
      <c r="O767" t="s">
        <v>54</v>
      </c>
      <c r="P767" t="s">
        <v>32</v>
      </c>
      <c r="Q767" s="2">
        <v>9425</v>
      </c>
    </row>
    <row r="768" spans="1:17" x14ac:dyDescent="0.2">
      <c r="A768" s="1">
        <v>43070</v>
      </c>
      <c r="B768">
        <v>53726</v>
      </c>
      <c r="C768" t="s">
        <v>79</v>
      </c>
      <c r="D768" t="s">
        <v>50</v>
      </c>
      <c r="E768" t="s">
        <v>63</v>
      </c>
      <c r="F768" s="5">
        <v>26</v>
      </c>
      <c r="G768" t="str">
        <f>IF(Data[[#This Row],[Age]]&lt;25,"Under 25",IF(Data[[#This Row],[Age]]&lt;35,"25–34",IF(Data[[#This Row],[Age]]&lt;45,"35–44",IF(Data[[#This Row],[Age]]&lt;55,"45–54","55+"))))</f>
        <v>25–34</v>
      </c>
      <c r="H768" t="s">
        <v>25</v>
      </c>
      <c r="I768" t="s">
        <v>18</v>
      </c>
      <c r="J768" t="s">
        <v>35</v>
      </c>
      <c r="K768" s="1">
        <v>41011</v>
      </c>
      <c r="M768" s="1" t="str">
        <f>IF(ISBLANK(Data[[#This Row],[EndDate]]),"Active","InActive")</f>
        <v>Active</v>
      </c>
      <c r="N768" t="s">
        <v>20</v>
      </c>
      <c r="O768" t="s">
        <v>54</v>
      </c>
      <c r="P768" t="s">
        <v>32</v>
      </c>
      <c r="Q768" s="2">
        <v>12272</v>
      </c>
    </row>
    <row r="769" spans="1:17" x14ac:dyDescent="0.2">
      <c r="A769" s="1">
        <v>43070</v>
      </c>
      <c r="B769">
        <v>92420</v>
      </c>
      <c r="C769" t="s">
        <v>80</v>
      </c>
      <c r="D769" t="s">
        <v>52</v>
      </c>
      <c r="E769" t="s">
        <v>67</v>
      </c>
      <c r="F769" s="5">
        <v>26</v>
      </c>
      <c r="G769" t="str">
        <f>IF(Data[[#This Row],[Age]]&lt;25,"Under 25",IF(Data[[#This Row],[Age]]&lt;35,"25–34",IF(Data[[#This Row],[Age]]&lt;45,"35–44",IF(Data[[#This Row],[Age]]&lt;55,"45–54","55+"))))</f>
        <v>25–34</v>
      </c>
      <c r="H769" t="s">
        <v>31</v>
      </c>
      <c r="I769" t="s">
        <v>56</v>
      </c>
      <c r="J769" t="s">
        <v>19</v>
      </c>
      <c r="K769" s="1">
        <v>38161</v>
      </c>
      <c r="M769" s="1" t="str">
        <f>IF(ISBLANK(Data[[#This Row],[EndDate]]),"Active","InActive")</f>
        <v>Active</v>
      </c>
      <c r="N769" t="s">
        <v>57</v>
      </c>
      <c r="O769" t="s">
        <v>54</v>
      </c>
      <c r="P769" t="s">
        <v>32</v>
      </c>
      <c r="Q769" s="2">
        <v>12545</v>
      </c>
    </row>
    <row r="770" spans="1:17" x14ac:dyDescent="0.2">
      <c r="A770" s="1">
        <v>43435</v>
      </c>
      <c r="B770">
        <v>42500</v>
      </c>
      <c r="C770" t="s">
        <v>80</v>
      </c>
      <c r="D770" t="s">
        <v>15</v>
      </c>
      <c r="E770" t="s">
        <v>58</v>
      </c>
      <c r="F770" s="5">
        <v>26</v>
      </c>
      <c r="G770" t="str">
        <f>IF(Data[[#This Row],[Age]]&lt;25,"Under 25",IF(Data[[#This Row],[Age]]&lt;35,"25–34",IF(Data[[#This Row],[Age]]&lt;45,"35–44",IF(Data[[#This Row],[Age]]&lt;55,"45–54","55+"))))</f>
        <v>25–34</v>
      </c>
      <c r="H770" t="s">
        <v>31</v>
      </c>
      <c r="I770" t="s">
        <v>18</v>
      </c>
      <c r="J770" t="s">
        <v>35</v>
      </c>
      <c r="K770" s="1">
        <v>41794</v>
      </c>
      <c r="M770" s="1" t="str">
        <f>IF(ISBLANK(Data[[#This Row],[EndDate]]),"Active","InActive")</f>
        <v>Active</v>
      </c>
      <c r="N770" t="s">
        <v>20</v>
      </c>
      <c r="O770" t="s">
        <v>54</v>
      </c>
      <c r="P770" t="s">
        <v>40</v>
      </c>
      <c r="Q770" s="2">
        <v>12038</v>
      </c>
    </row>
    <row r="771" spans="1:17" x14ac:dyDescent="0.2">
      <c r="A771" s="1">
        <v>43435</v>
      </c>
      <c r="B771">
        <v>42502</v>
      </c>
      <c r="C771" t="s">
        <v>80</v>
      </c>
      <c r="D771" t="s">
        <v>52</v>
      </c>
      <c r="E771" t="s">
        <v>67</v>
      </c>
      <c r="F771" s="5">
        <v>26</v>
      </c>
      <c r="G771" t="str">
        <f>IF(Data[[#This Row],[Age]]&lt;25,"Under 25",IF(Data[[#This Row],[Age]]&lt;35,"25–34",IF(Data[[#This Row],[Age]]&lt;45,"35–44",IF(Data[[#This Row],[Age]]&lt;55,"45–54","55+"))))</f>
        <v>25–34</v>
      </c>
      <c r="H771" t="s">
        <v>46</v>
      </c>
      <c r="I771" t="s">
        <v>18</v>
      </c>
      <c r="J771" t="s">
        <v>35</v>
      </c>
      <c r="K771" s="1">
        <v>41794</v>
      </c>
      <c r="M771" s="1" t="str">
        <f>IF(ISBLANK(Data[[#This Row],[EndDate]]),"Active","InActive")</f>
        <v>Active</v>
      </c>
      <c r="N771" t="s">
        <v>20</v>
      </c>
      <c r="O771" t="s">
        <v>54</v>
      </c>
      <c r="P771" t="s">
        <v>40</v>
      </c>
      <c r="Q771" s="2">
        <v>3783</v>
      </c>
    </row>
    <row r="772" spans="1:17" x14ac:dyDescent="0.2">
      <c r="A772" s="1">
        <v>43435</v>
      </c>
      <c r="B772">
        <v>51434</v>
      </c>
      <c r="C772" t="s">
        <v>80</v>
      </c>
      <c r="D772" t="s">
        <v>38</v>
      </c>
      <c r="E772" t="s">
        <v>61</v>
      </c>
      <c r="F772" s="5">
        <v>26</v>
      </c>
      <c r="G772" t="str">
        <f>IF(Data[[#This Row],[Age]]&lt;25,"Under 25",IF(Data[[#This Row],[Age]]&lt;35,"25–34",IF(Data[[#This Row],[Age]]&lt;45,"35–44",IF(Data[[#This Row],[Age]]&lt;55,"45–54","55+"))))</f>
        <v>25–34</v>
      </c>
      <c r="H772" t="s">
        <v>49</v>
      </c>
      <c r="I772" t="s">
        <v>18</v>
      </c>
      <c r="J772" t="s">
        <v>37</v>
      </c>
      <c r="K772" s="1">
        <v>41871</v>
      </c>
      <c r="M772" s="1" t="str">
        <f>IF(ISBLANK(Data[[#This Row],[EndDate]]),"Active","InActive")</f>
        <v>Active</v>
      </c>
      <c r="N772" t="s">
        <v>20</v>
      </c>
      <c r="O772" t="s">
        <v>54</v>
      </c>
      <c r="P772" t="s">
        <v>40</v>
      </c>
      <c r="Q772" s="2">
        <v>8671</v>
      </c>
    </row>
    <row r="773" spans="1:17" x14ac:dyDescent="0.2">
      <c r="A773" s="1">
        <v>43435</v>
      </c>
      <c r="B773">
        <v>51776</v>
      </c>
      <c r="C773" t="s">
        <v>80</v>
      </c>
      <c r="D773" t="s">
        <v>50</v>
      </c>
      <c r="E773" t="s">
        <v>63</v>
      </c>
      <c r="F773" s="5">
        <v>26</v>
      </c>
      <c r="G773" t="str">
        <f>IF(Data[[#This Row],[Age]]&lt;25,"Under 25",IF(Data[[#This Row],[Age]]&lt;35,"25–34",IF(Data[[#This Row],[Age]]&lt;45,"35–44",IF(Data[[#This Row],[Age]]&lt;55,"45–54","55+"))))</f>
        <v>25–34</v>
      </c>
      <c r="H773" t="s">
        <v>49</v>
      </c>
      <c r="I773" t="s">
        <v>18</v>
      </c>
      <c r="J773" t="s">
        <v>26</v>
      </c>
      <c r="K773" s="1">
        <v>41451</v>
      </c>
      <c r="M773" s="1" t="str">
        <f>IF(ISBLANK(Data[[#This Row],[EndDate]]),"Active","InActive")</f>
        <v>Active</v>
      </c>
      <c r="N773" t="s">
        <v>20</v>
      </c>
      <c r="O773" t="s">
        <v>54</v>
      </c>
      <c r="P773" t="s">
        <v>40</v>
      </c>
      <c r="Q773" s="2">
        <v>6370</v>
      </c>
    </row>
    <row r="774" spans="1:17" x14ac:dyDescent="0.2">
      <c r="A774" s="1">
        <v>43435</v>
      </c>
      <c r="B774">
        <v>56320</v>
      </c>
      <c r="C774" t="s">
        <v>80</v>
      </c>
      <c r="D774" t="s">
        <v>43</v>
      </c>
      <c r="E774" t="s">
        <v>60</v>
      </c>
      <c r="F774" s="5">
        <v>26</v>
      </c>
      <c r="G774" t="str">
        <f>IF(Data[[#This Row],[Age]]&lt;25,"Under 25",IF(Data[[#This Row],[Age]]&lt;35,"25–34",IF(Data[[#This Row],[Age]]&lt;45,"35–44",IF(Data[[#This Row],[Age]]&lt;55,"45–54","55+"))))</f>
        <v>25–34</v>
      </c>
      <c r="H774" t="s">
        <v>49</v>
      </c>
      <c r="I774" t="s">
        <v>18</v>
      </c>
      <c r="J774" t="s">
        <v>35</v>
      </c>
      <c r="K774" s="1">
        <v>41752</v>
      </c>
      <c r="L774" s="1">
        <v>41872</v>
      </c>
      <c r="M774" s="1" t="str">
        <f>IF(ISBLANK(Data[[#This Row],[EndDate]]),"Active","InActive")</f>
        <v>InActive</v>
      </c>
      <c r="N774" t="s">
        <v>20</v>
      </c>
      <c r="O774" t="s">
        <v>54</v>
      </c>
      <c r="P774" t="s">
        <v>40</v>
      </c>
      <c r="Q774" s="2">
        <v>6266</v>
      </c>
    </row>
    <row r="775" spans="1:17" x14ac:dyDescent="0.2">
      <c r="A775" s="1">
        <v>43435</v>
      </c>
      <c r="B775">
        <v>96180</v>
      </c>
      <c r="C775" t="s">
        <v>80</v>
      </c>
      <c r="D775" t="s">
        <v>38</v>
      </c>
      <c r="E775" t="s">
        <v>45</v>
      </c>
      <c r="F775" s="5">
        <v>26</v>
      </c>
      <c r="G775" t="str">
        <f>IF(Data[[#This Row],[Age]]&lt;25,"Under 25",IF(Data[[#This Row],[Age]]&lt;35,"25–34",IF(Data[[#This Row],[Age]]&lt;45,"35–44",IF(Data[[#This Row],[Age]]&lt;55,"45–54","55+"))))</f>
        <v>25–34</v>
      </c>
      <c r="H775" t="s">
        <v>34</v>
      </c>
      <c r="I775" t="s">
        <v>56</v>
      </c>
      <c r="J775" t="s">
        <v>19</v>
      </c>
      <c r="K775" s="1">
        <v>39476</v>
      </c>
      <c r="M775" s="1" t="str">
        <f>IF(ISBLANK(Data[[#This Row],[EndDate]]),"Active","InActive")</f>
        <v>Active</v>
      </c>
      <c r="N775" t="s">
        <v>57</v>
      </c>
      <c r="O775" t="s">
        <v>54</v>
      </c>
      <c r="P775" t="s">
        <v>40</v>
      </c>
      <c r="Q775" s="2">
        <v>1300</v>
      </c>
    </row>
    <row r="776" spans="1:17" x14ac:dyDescent="0.2">
      <c r="A776" s="1">
        <v>43435</v>
      </c>
      <c r="B776">
        <v>97038</v>
      </c>
      <c r="C776" t="s">
        <v>79</v>
      </c>
      <c r="D776" t="s">
        <v>15</v>
      </c>
      <c r="E776" t="s">
        <v>58</v>
      </c>
      <c r="F776" s="5">
        <v>26</v>
      </c>
      <c r="G776" t="str">
        <f>IF(Data[[#This Row],[Age]]&lt;25,"Under 25",IF(Data[[#This Row],[Age]]&lt;35,"25–34",IF(Data[[#This Row],[Age]]&lt;45,"35–44",IF(Data[[#This Row],[Age]]&lt;55,"45–54","55+"))))</f>
        <v>25–34</v>
      </c>
      <c r="H776" t="s">
        <v>34</v>
      </c>
      <c r="I776" t="s">
        <v>56</v>
      </c>
      <c r="J776" t="s">
        <v>19</v>
      </c>
      <c r="K776" s="1">
        <v>39357</v>
      </c>
      <c r="M776" s="1" t="str">
        <f>IF(ISBLANK(Data[[#This Row],[EndDate]]),"Active","InActive")</f>
        <v>Active</v>
      </c>
      <c r="N776" t="s">
        <v>57</v>
      </c>
      <c r="O776" t="s">
        <v>54</v>
      </c>
      <c r="P776" t="s">
        <v>40</v>
      </c>
      <c r="Q776" s="2">
        <v>3393</v>
      </c>
    </row>
    <row r="777" spans="1:17" x14ac:dyDescent="0.2">
      <c r="A777" s="1">
        <v>43435</v>
      </c>
      <c r="B777">
        <v>97318</v>
      </c>
      <c r="C777" t="s">
        <v>79</v>
      </c>
      <c r="D777" t="s">
        <v>41</v>
      </c>
      <c r="E777" t="s">
        <v>62</v>
      </c>
      <c r="F777" s="5">
        <v>26</v>
      </c>
      <c r="G777" t="str">
        <f>IF(Data[[#This Row],[Age]]&lt;25,"Under 25",IF(Data[[#This Row],[Age]]&lt;35,"25–34",IF(Data[[#This Row],[Age]]&lt;45,"35–44",IF(Data[[#This Row],[Age]]&lt;55,"45–54","55+"))))</f>
        <v>25–34</v>
      </c>
      <c r="H777" t="s">
        <v>49</v>
      </c>
      <c r="I777" t="s">
        <v>18</v>
      </c>
      <c r="J777" t="s">
        <v>19</v>
      </c>
      <c r="K777" s="1">
        <v>39946</v>
      </c>
      <c r="M777" s="1" t="str">
        <f>IF(ISBLANK(Data[[#This Row],[EndDate]]),"Active","InActive")</f>
        <v>Active</v>
      </c>
      <c r="N777" t="s">
        <v>20</v>
      </c>
      <c r="O777" t="s">
        <v>54</v>
      </c>
      <c r="P777" t="s">
        <v>40</v>
      </c>
      <c r="Q777" s="2">
        <v>5200</v>
      </c>
    </row>
    <row r="778" spans="1:17" x14ac:dyDescent="0.2">
      <c r="A778" s="1">
        <v>42705</v>
      </c>
      <c r="B778">
        <v>92324</v>
      </c>
      <c r="C778" t="s">
        <v>79</v>
      </c>
      <c r="D778" t="s">
        <v>15</v>
      </c>
      <c r="E778" t="s">
        <v>58</v>
      </c>
      <c r="F778" s="5">
        <v>26</v>
      </c>
      <c r="G778" t="str">
        <f>IF(Data[[#This Row],[Age]]&lt;25,"Under 25",IF(Data[[#This Row],[Age]]&lt;35,"25–34",IF(Data[[#This Row],[Age]]&lt;45,"35–44",IF(Data[[#This Row],[Age]]&lt;55,"45–54","55+"))))</f>
        <v>25–34</v>
      </c>
      <c r="H778" t="s">
        <v>25</v>
      </c>
      <c r="I778" t="s">
        <v>56</v>
      </c>
      <c r="J778" t="s">
        <v>19</v>
      </c>
      <c r="K778" s="1">
        <v>38505</v>
      </c>
      <c r="M778" s="1" t="str">
        <f>IF(ISBLANK(Data[[#This Row],[EndDate]]),"Active","InActive")</f>
        <v>Active</v>
      </c>
      <c r="N778" t="s">
        <v>57</v>
      </c>
      <c r="O778" t="s">
        <v>54</v>
      </c>
      <c r="P778" t="s">
        <v>22</v>
      </c>
      <c r="Q778" s="2">
        <v>8515</v>
      </c>
    </row>
    <row r="779" spans="1:17" x14ac:dyDescent="0.2">
      <c r="A779" s="1">
        <v>42705</v>
      </c>
      <c r="B779">
        <v>110266</v>
      </c>
      <c r="C779" t="s">
        <v>79</v>
      </c>
      <c r="D779" t="s">
        <v>50</v>
      </c>
      <c r="E779" t="s">
        <v>51</v>
      </c>
      <c r="F779" s="5">
        <v>26</v>
      </c>
      <c r="G779" t="str">
        <f>IF(Data[[#This Row],[Age]]&lt;25,"Under 25",IF(Data[[#This Row],[Age]]&lt;35,"25–34",IF(Data[[#This Row],[Age]]&lt;45,"35–44",IF(Data[[#This Row],[Age]]&lt;55,"45–54","55+"))))</f>
        <v>25–34</v>
      </c>
      <c r="H779" t="s">
        <v>17</v>
      </c>
      <c r="I779" t="s">
        <v>56</v>
      </c>
      <c r="J779" t="s">
        <v>26</v>
      </c>
      <c r="K779" s="1">
        <v>38084</v>
      </c>
      <c r="M779" s="1" t="str">
        <f>IF(ISBLANK(Data[[#This Row],[EndDate]]),"Active","InActive")</f>
        <v>Active</v>
      </c>
      <c r="N779" t="s">
        <v>57</v>
      </c>
      <c r="O779" t="s">
        <v>54</v>
      </c>
      <c r="P779" t="s">
        <v>22</v>
      </c>
      <c r="Q779" s="2">
        <v>7306</v>
      </c>
    </row>
    <row r="780" spans="1:17" x14ac:dyDescent="0.2">
      <c r="A780" s="1">
        <v>42705</v>
      </c>
      <c r="B780">
        <v>113664</v>
      </c>
      <c r="C780" t="s">
        <v>80</v>
      </c>
      <c r="D780" t="s">
        <v>29</v>
      </c>
      <c r="E780" t="s">
        <v>30</v>
      </c>
      <c r="F780" s="5">
        <v>26</v>
      </c>
      <c r="G780" t="str">
        <f>IF(Data[[#This Row],[Age]]&lt;25,"Under 25",IF(Data[[#This Row],[Age]]&lt;35,"25–34",IF(Data[[#This Row],[Age]]&lt;45,"35–44",IF(Data[[#This Row],[Age]]&lt;55,"45–54","55+"))))</f>
        <v>25–34</v>
      </c>
      <c r="H780" t="s">
        <v>59</v>
      </c>
      <c r="I780" t="s">
        <v>56</v>
      </c>
      <c r="J780" t="s">
        <v>19</v>
      </c>
      <c r="K780" s="1">
        <v>40575</v>
      </c>
      <c r="M780" s="1" t="str">
        <f>IF(ISBLANK(Data[[#This Row],[EndDate]]),"Active","InActive")</f>
        <v>Active</v>
      </c>
      <c r="N780" t="s">
        <v>57</v>
      </c>
      <c r="O780" t="s">
        <v>54</v>
      </c>
      <c r="P780" t="s">
        <v>22</v>
      </c>
      <c r="Q780" s="2">
        <v>6955</v>
      </c>
    </row>
    <row r="781" spans="1:17" x14ac:dyDescent="0.2">
      <c r="A781" s="1">
        <v>43435</v>
      </c>
      <c r="B781">
        <v>95710</v>
      </c>
      <c r="C781" t="s">
        <v>79</v>
      </c>
      <c r="D781" t="s">
        <v>47</v>
      </c>
      <c r="E781" t="s">
        <v>48</v>
      </c>
      <c r="F781" s="5">
        <v>26</v>
      </c>
      <c r="G781" t="str">
        <f>IF(Data[[#This Row],[Age]]&lt;25,"Under 25",IF(Data[[#This Row],[Age]]&lt;35,"25–34",IF(Data[[#This Row],[Age]]&lt;45,"35–44",IF(Data[[#This Row],[Age]]&lt;55,"45–54","55+"))))</f>
        <v>25–34</v>
      </c>
      <c r="H781" t="s">
        <v>25</v>
      </c>
      <c r="I781" t="s">
        <v>56</v>
      </c>
      <c r="J781" t="s">
        <v>19</v>
      </c>
      <c r="K781" s="1">
        <v>40948</v>
      </c>
      <c r="M781" s="1" t="str">
        <f>IF(ISBLANK(Data[[#This Row],[EndDate]]),"Active","InActive")</f>
        <v>Active</v>
      </c>
      <c r="N781" t="s">
        <v>57</v>
      </c>
      <c r="O781" t="s">
        <v>54</v>
      </c>
      <c r="P781" t="s">
        <v>40</v>
      </c>
      <c r="Q781" s="2">
        <v>4693</v>
      </c>
    </row>
    <row r="782" spans="1:17" x14ac:dyDescent="0.2">
      <c r="A782" s="1">
        <v>43435</v>
      </c>
      <c r="B782">
        <v>95770</v>
      </c>
      <c r="C782" t="s">
        <v>79</v>
      </c>
      <c r="D782" t="s">
        <v>27</v>
      </c>
      <c r="E782" t="s">
        <v>28</v>
      </c>
      <c r="F782" s="5">
        <v>26</v>
      </c>
      <c r="G782" t="str">
        <f>IF(Data[[#This Row],[Age]]&lt;25,"Under 25",IF(Data[[#This Row],[Age]]&lt;35,"25–34",IF(Data[[#This Row],[Age]]&lt;45,"35–44",IF(Data[[#This Row],[Age]]&lt;55,"45–54","55+"))))</f>
        <v>25–34</v>
      </c>
      <c r="H782" t="s">
        <v>25</v>
      </c>
      <c r="I782" t="s">
        <v>56</v>
      </c>
      <c r="J782" t="s">
        <v>19</v>
      </c>
      <c r="K782" s="1">
        <v>41423</v>
      </c>
      <c r="M782" s="1" t="str">
        <f>IF(ISBLANK(Data[[#This Row],[EndDate]]),"Active","InActive")</f>
        <v>Active</v>
      </c>
      <c r="N782" t="s">
        <v>57</v>
      </c>
      <c r="O782" t="s">
        <v>54</v>
      </c>
      <c r="P782" t="s">
        <v>40</v>
      </c>
      <c r="Q782" s="2">
        <v>3562</v>
      </c>
    </row>
    <row r="783" spans="1:17" x14ac:dyDescent="0.2">
      <c r="A783" s="1">
        <v>43070</v>
      </c>
      <c r="B783">
        <v>54384</v>
      </c>
      <c r="C783" t="s">
        <v>79</v>
      </c>
      <c r="D783" t="s">
        <v>47</v>
      </c>
      <c r="E783" t="s">
        <v>73</v>
      </c>
      <c r="F783" s="5">
        <v>26</v>
      </c>
      <c r="G783" t="str">
        <f>IF(Data[[#This Row],[Age]]&lt;25,"Under 25",IF(Data[[#This Row],[Age]]&lt;35,"25–34",IF(Data[[#This Row],[Age]]&lt;45,"35–44",IF(Data[[#This Row],[Age]]&lt;55,"45–54","55+"))))</f>
        <v>25–34</v>
      </c>
      <c r="H783" t="s">
        <v>17</v>
      </c>
      <c r="I783" t="s">
        <v>56</v>
      </c>
      <c r="J783" t="s">
        <v>37</v>
      </c>
      <c r="K783" s="1">
        <v>41297</v>
      </c>
      <c r="M783" s="1" t="str">
        <f>IF(ISBLANK(Data[[#This Row],[EndDate]]),"Active","InActive")</f>
        <v>Active</v>
      </c>
      <c r="N783" t="s">
        <v>57</v>
      </c>
      <c r="O783" t="s">
        <v>54</v>
      </c>
      <c r="P783" t="s">
        <v>32</v>
      </c>
      <c r="Q783" s="2">
        <v>8606</v>
      </c>
    </row>
    <row r="784" spans="1:17" x14ac:dyDescent="0.2">
      <c r="A784" s="1">
        <v>42705</v>
      </c>
      <c r="B784">
        <v>104426</v>
      </c>
      <c r="C784" t="s">
        <v>79</v>
      </c>
      <c r="D784" t="s">
        <v>50</v>
      </c>
      <c r="E784" t="s">
        <v>51</v>
      </c>
      <c r="F784" s="5">
        <v>26</v>
      </c>
      <c r="G784" t="str">
        <f>IF(Data[[#This Row],[Age]]&lt;25,"Under 25",IF(Data[[#This Row],[Age]]&lt;35,"25–34",IF(Data[[#This Row],[Age]]&lt;45,"35–44",IF(Data[[#This Row],[Age]]&lt;55,"45–54","55+"))))</f>
        <v>25–34</v>
      </c>
      <c r="H784" t="s">
        <v>17</v>
      </c>
      <c r="I784" t="s">
        <v>56</v>
      </c>
      <c r="J784" t="s">
        <v>37</v>
      </c>
      <c r="K784" s="1">
        <v>38987</v>
      </c>
      <c r="M784" s="1" t="str">
        <f>IF(ISBLANK(Data[[#This Row],[EndDate]]),"Active","InActive")</f>
        <v>Active</v>
      </c>
      <c r="N784" t="s">
        <v>57</v>
      </c>
      <c r="O784" t="s">
        <v>54</v>
      </c>
      <c r="P784" t="s">
        <v>22</v>
      </c>
      <c r="Q784" s="2">
        <v>9230</v>
      </c>
    </row>
    <row r="785" spans="1:17" x14ac:dyDescent="0.2">
      <c r="A785" s="1">
        <v>43435</v>
      </c>
      <c r="B785">
        <v>43440</v>
      </c>
      <c r="C785" t="s">
        <v>79</v>
      </c>
      <c r="D785" t="s">
        <v>27</v>
      </c>
      <c r="E785" t="s">
        <v>72</v>
      </c>
      <c r="F785" s="5">
        <v>26</v>
      </c>
      <c r="G785" t="str">
        <f>IF(Data[[#This Row],[Age]]&lt;25,"Under 25",IF(Data[[#This Row],[Age]]&lt;35,"25–34",IF(Data[[#This Row],[Age]]&lt;45,"35–44",IF(Data[[#This Row],[Age]]&lt;55,"45–54","55+"))))</f>
        <v>25–34</v>
      </c>
      <c r="H785" t="s">
        <v>17</v>
      </c>
      <c r="I785" t="s">
        <v>56</v>
      </c>
      <c r="J785" t="s">
        <v>37</v>
      </c>
      <c r="K785" s="1">
        <v>39233</v>
      </c>
      <c r="M785" s="1" t="str">
        <f>IF(ISBLANK(Data[[#This Row],[EndDate]]),"Active","InActive")</f>
        <v>Active</v>
      </c>
      <c r="N785" t="s">
        <v>57</v>
      </c>
      <c r="O785" t="s">
        <v>54</v>
      </c>
      <c r="P785" t="s">
        <v>40</v>
      </c>
      <c r="Q785" s="2">
        <v>6149</v>
      </c>
    </row>
    <row r="786" spans="1:17" x14ac:dyDescent="0.2">
      <c r="A786" s="1">
        <v>42705</v>
      </c>
      <c r="B786">
        <v>52982</v>
      </c>
      <c r="C786" t="s">
        <v>80</v>
      </c>
      <c r="D786" t="s">
        <v>41</v>
      </c>
      <c r="E786" t="s">
        <v>68</v>
      </c>
      <c r="F786" s="5">
        <v>26</v>
      </c>
      <c r="G786" t="str">
        <f>IF(Data[[#This Row],[Age]]&lt;25,"Under 25",IF(Data[[#This Row],[Age]]&lt;35,"25–34",IF(Data[[#This Row],[Age]]&lt;45,"35–44",IF(Data[[#This Row],[Age]]&lt;55,"45–54","55+"))))</f>
        <v>25–34</v>
      </c>
      <c r="H786" t="s">
        <v>17</v>
      </c>
      <c r="I786" t="s">
        <v>56</v>
      </c>
      <c r="J786" t="s">
        <v>37</v>
      </c>
      <c r="K786" s="1">
        <v>38897</v>
      </c>
      <c r="M786" s="1" t="str">
        <f>IF(ISBLANK(Data[[#This Row],[EndDate]]),"Active","InActive")</f>
        <v>Active</v>
      </c>
      <c r="N786" t="s">
        <v>57</v>
      </c>
      <c r="O786" t="s">
        <v>54</v>
      </c>
      <c r="P786" t="s">
        <v>22</v>
      </c>
      <c r="Q786" s="2">
        <v>3549</v>
      </c>
    </row>
    <row r="787" spans="1:17" x14ac:dyDescent="0.2">
      <c r="A787" s="1">
        <v>42705</v>
      </c>
      <c r="B787">
        <v>54338</v>
      </c>
      <c r="C787" t="s">
        <v>80</v>
      </c>
      <c r="D787" t="s">
        <v>27</v>
      </c>
      <c r="E787" t="s">
        <v>72</v>
      </c>
      <c r="F787" s="5">
        <v>26</v>
      </c>
      <c r="G787" t="str">
        <f>IF(Data[[#This Row],[Age]]&lt;25,"Under 25",IF(Data[[#This Row],[Age]]&lt;35,"25–34",IF(Data[[#This Row],[Age]]&lt;45,"35–44",IF(Data[[#This Row],[Age]]&lt;55,"45–54","55+"))))</f>
        <v>25–34</v>
      </c>
      <c r="H787" t="s">
        <v>46</v>
      </c>
      <c r="I787" t="s">
        <v>56</v>
      </c>
      <c r="J787" t="s">
        <v>37</v>
      </c>
      <c r="K787" s="1">
        <v>40549</v>
      </c>
      <c r="M787" s="1" t="str">
        <f>IF(ISBLANK(Data[[#This Row],[EndDate]]),"Active","InActive")</f>
        <v>Active</v>
      </c>
      <c r="N787" t="s">
        <v>57</v>
      </c>
      <c r="O787" t="s">
        <v>54</v>
      </c>
      <c r="P787" t="s">
        <v>22</v>
      </c>
      <c r="Q787" s="2">
        <v>9919</v>
      </c>
    </row>
    <row r="788" spans="1:17" x14ac:dyDescent="0.2">
      <c r="A788" s="1">
        <v>42705</v>
      </c>
      <c r="B788">
        <v>33124</v>
      </c>
      <c r="C788" t="s">
        <v>80</v>
      </c>
      <c r="D788" t="s">
        <v>41</v>
      </c>
      <c r="E788" t="s">
        <v>42</v>
      </c>
      <c r="F788" s="5">
        <v>26</v>
      </c>
      <c r="G788" t="str">
        <f>IF(Data[[#This Row],[Age]]&lt;25,"Under 25",IF(Data[[#This Row],[Age]]&lt;35,"25–34",IF(Data[[#This Row],[Age]]&lt;45,"35–44",IF(Data[[#This Row],[Age]]&lt;55,"45–54","55+"))))</f>
        <v>25–34</v>
      </c>
      <c r="H788" t="s">
        <v>25</v>
      </c>
      <c r="I788" t="s">
        <v>18</v>
      </c>
      <c r="J788" t="s">
        <v>37</v>
      </c>
      <c r="K788" s="1">
        <v>39308</v>
      </c>
      <c r="M788" s="1" t="str">
        <f>IF(ISBLANK(Data[[#This Row],[EndDate]]),"Active","InActive")</f>
        <v>Active</v>
      </c>
      <c r="N788" t="s">
        <v>20</v>
      </c>
      <c r="O788" t="s">
        <v>54</v>
      </c>
      <c r="P788" t="s">
        <v>22</v>
      </c>
      <c r="Q788" s="2">
        <v>2782</v>
      </c>
    </row>
    <row r="789" spans="1:17" x14ac:dyDescent="0.2">
      <c r="A789" s="1">
        <v>42705</v>
      </c>
      <c r="B789">
        <v>40486</v>
      </c>
      <c r="C789" t="s">
        <v>80</v>
      </c>
      <c r="D789" t="s">
        <v>27</v>
      </c>
      <c r="E789" t="s">
        <v>72</v>
      </c>
      <c r="F789" s="5">
        <v>26</v>
      </c>
      <c r="G789" t="str">
        <f>IF(Data[[#This Row],[Age]]&lt;25,"Under 25",IF(Data[[#This Row],[Age]]&lt;35,"25–34",IF(Data[[#This Row],[Age]]&lt;45,"35–44",IF(Data[[#This Row],[Age]]&lt;55,"45–54","55+"))))</f>
        <v>25–34</v>
      </c>
      <c r="H789" t="s">
        <v>49</v>
      </c>
      <c r="I789" t="s">
        <v>18</v>
      </c>
      <c r="J789" t="s">
        <v>37</v>
      </c>
      <c r="K789" s="1">
        <v>40849</v>
      </c>
      <c r="M789" s="1" t="str">
        <f>IF(ISBLANK(Data[[#This Row],[EndDate]]),"Active","InActive")</f>
        <v>Active</v>
      </c>
      <c r="N789" t="s">
        <v>20</v>
      </c>
      <c r="O789" t="s">
        <v>54</v>
      </c>
      <c r="P789" t="s">
        <v>22</v>
      </c>
      <c r="Q789" s="2">
        <v>1651</v>
      </c>
    </row>
    <row r="790" spans="1:17" x14ac:dyDescent="0.2">
      <c r="A790" s="1">
        <v>43070</v>
      </c>
      <c r="B790">
        <v>16664</v>
      </c>
      <c r="C790" t="s">
        <v>80</v>
      </c>
      <c r="D790" t="s">
        <v>52</v>
      </c>
      <c r="E790" t="s">
        <v>67</v>
      </c>
      <c r="F790" s="5">
        <v>26</v>
      </c>
      <c r="G790" t="str">
        <f>IF(Data[[#This Row],[Age]]&lt;25,"Under 25",IF(Data[[#This Row],[Age]]&lt;35,"25–34",IF(Data[[#This Row],[Age]]&lt;45,"35–44",IF(Data[[#This Row],[Age]]&lt;55,"45–54","55+"))))</f>
        <v>25–34</v>
      </c>
      <c r="H790" t="s">
        <v>25</v>
      </c>
      <c r="I790" t="s">
        <v>18</v>
      </c>
      <c r="J790" t="s">
        <v>37</v>
      </c>
      <c r="K790" s="1">
        <v>39716</v>
      </c>
      <c r="M790" s="1" t="str">
        <f>IF(ISBLANK(Data[[#This Row],[EndDate]]),"Active","InActive")</f>
        <v>Active</v>
      </c>
      <c r="N790" t="s">
        <v>20</v>
      </c>
      <c r="O790" t="s">
        <v>54</v>
      </c>
      <c r="P790" t="s">
        <v>32</v>
      </c>
      <c r="Q790" s="2">
        <v>9711</v>
      </c>
    </row>
    <row r="791" spans="1:17" x14ac:dyDescent="0.2">
      <c r="A791" s="1">
        <v>43070</v>
      </c>
      <c r="B791">
        <v>43380</v>
      </c>
      <c r="C791" t="s">
        <v>80</v>
      </c>
      <c r="D791" t="s">
        <v>43</v>
      </c>
      <c r="E791" t="s">
        <v>66</v>
      </c>
      <c r="F791" s="5">
        <v>26</v>
      </c>
      <c r="G791" t="str">
        <f>IF(Data[[#This Row],[Age]]&lt;25,"Under 25",IF(Data[[#This Row],[Age]]&lt;35,"25–34",IF(Data[[#This Row],[Age]]&lt;45,"35–44",IF(Data[[#This Row],[Age]]&lt;55,"45–54","55+"))))</f>
        <v>25–34</v>
      </c>
      <c r="H791" t="s">
        <v>59</v>
      </c>
      <c r="I791" t="s">
        <v>18</v>
      </c>
      <c r="J791" t="s">
        <v>37</v>
      </c>
      <c r="K791" s="1">
        <v>41095</v>
      </c>
      <c r="L791" s="1">
        <v>41195</v>
      </c>
      <c r="M791" s="1" t="str">
        <f>IF(ISBLANK(Data[[#This Row],[EndDate]]),"Active","InActive")</f>
        <v>InActive</v>
      </c>
      <c r="N791" t="s">
        <v>20</v>
      </c>
      <c r="O791" t="s">
        <v>54</v>
      </c>
      <c r="P791" t="s">
        <v>32</v>
      </c>
      <c r="Q791" s="2">
        <v>12064</v>
      </c>
    </row>
    <row r="792" spans="1:17" x14ac:dyDescent="0.2">
      <c r="A792" s="1">
        <v>43070</v>
      </c>
      <c r="B792">
        <v>52934</v>
      </c>
      <c r="C792" t="s">
        <v>80</v>
      </c>
      <c r="D792" t="s">
        <v>41</v>
      </c>
      <c r="E792" t="s">
        <v>62</v>
      </c>
      <c r="F792" s="5">
        <v>26</v>
      </c>
      <c r="G792" t="str">
        <f>IF(Data[[#This Row],[Age]]&lt;25,"Under 25",IF(Data[[#This Row],[Age]]&lt;35,"25–34",IF(Data[[#This Row],[Age]]&lt;45,"35–44",IF(Data[[#This Row],[Age]]&lt;55,"45–54","55+"))))</f>
        <v>25–34</v>
      </c>
      <c r="H792" t="s">
        <v>46</v>
      </c>
      <c r="I792" t="s">
        <v>18</v>
      </c>
      <c r="J792" t="s">
        <v>37</v>
      </c>
      <c r="K792" s="1">
        <v>39186</v>
      </c>
      <c r="M792" s="1" t="str">
        <f>IF(ISBLANK(Data[[#This Row],[EndDate]]),"Active","InActive")</f>
        <v>Active</v>
      </c>
      <c r="N792" t="s">
        <v>20</v>
      </c>
      <c r="O792" t="s">
        <v>54</v>
      </c>
      <c r="P792" t="s">
        <v>32</v>
      </c>
      <c r="Q792" s="2">
        <v>12129</v>
      </c>
    </row>
    <row r="793" spans="1:17" x14ac:dyDescent="0.2">
      <c r="A793" s="1">
        <v>43435</v>
      </c>
      <c r="B793">
        <v>43404</v>
      </c>
      <c r="C793" t="s">
        <v>80</v>
      </c>
      <c r="D793" t="s">
        <v>52</v>
      </c>
      <c r="E793" t="s">
        <v>67</v>
      </c>
      <c r="F793" s="5">
        <v>26</v>
      </c>
      <c r="G793" t="str">
        <f>IF(Data[[#This Row],[Age]]&lt;25,"Under 25",IF(Data[[#This Row],[Age]]&lt;35,"25–34",IF(Data[[#This Row],[Age]]&lt;45,"35–44",IF(Data[[#This Row],[Age]]&lt;55,"45–54","55+"))))</f>
        <v>25–34</v>
      </c>
      <c r="H793" t="s">
        <v>46</v>
      </c>
      <c r="I793" t="s">
        <v>18</v>
      </c>
      <c r="J793" t="s">
        <v>37</v>
      </c>
      <c r="K793" s="1">
        <v>41962</v>
      </c>
      <c r="M793" s="1" t="str">
        <f>IF(ISBLANK(Data[[#This Row],[EndDate]]),"Active","InActive")</f>
        <v>Active</v>
      </c>
      <c r="N793" t="s">
        <v>20</v>
      </c>
      <c r="O793" t="s">
        <v>54</v>
      </c>
      <c r="P793" t="s">
        <v>40</v>
      </c>
      <c r="Q793" s="2">
        <v>5876</v>
      </c>
    </row>
    <row r="794" spans="1:17" x14ac:dyDescent="0.2">
      <c r="A794" s="1">
        <v>43435</v>
      </c>
      <c r="B794">
        <v>43538</v>
      </c>
      <c r="C794" t="s">
        <v>80</v>
      </c>
      <c r="D794" t="s">
        <v>27</v>
      </c>
      <c r="E794" t="s">
        <v>72</v>
      </c>
      <c r="F794" s="5">
        <v>26</v>
      </c>
      <c r="G794" t="str">
        <f>IF(Data[[#This Row],[Age]]&lt;25,"Under 25",IF(Data[[#This Row],[Age]]&lt;35,"25–34",IF(Data[[#This Row],[Age]]&lt;45,"35–44",IF(Data[[#This Row],[Age]]&lt;55,"45–54","55+"))))</f>
        <v>25–34</v>
      </c>
      <c r="H794" t="s">
        <v>59</v>
      </c>
      <c r="I794" t="s">
        <v>18</v>
      </c>
      <c r="J794" t="s">
        <v>37</v>
      </c>
      <c r="K794" s="1">
        <v>39611</v>
      </c>
      <c r="M794" s="1" t="str">
        <f>IF(ISBLANK(Data[[#This Row],[EndDate]]),"Active","InActive")</f>
        <v>Active</v>
      </c>
      <c r="N794" t="s">
        <v>20</v>
      </c>
      <c r="O794" t="s">
        <v>54</v>
      </c>
      <c r="P794" t="s">
        <v>40</v>
      </c>
      <c r="Q794" s="2">
        <v>3016</v>
      </c>
    </row>
    <row r="795" spans="1:17" x14ac:dyDescent="0.2">
      <c r="A795" s="1">
        <v>43435</v>
      </c>
      <c r="B795">
        <v>43590</v>
      </c>
      <c r="C795" t="s">
        <v>80</v>
      </c>
      <c r="D795" t="s">
        <v>38</v>
      </c>
      <c r="E795" t="s">
        <v>45</v>
      </c>
      <c r="F795" s="5">
        <v>26</v>
      </c>
      <c r="G795" t="str">
        <f>IF(Data[[#This Row],[Age]]&lt;25,"Under 25",IF(Data[[#This Row],[Age]]&lt;35,"25–34",IF(Data[[#This Row],[Age]]&lt;45,"35–44",IF(Data[[#This Row],[Age]]&lt;55,"45–54","55+"))))</f>
        <v>25–34</v>
      </c>
      <c r="H795" t="s">
        <v>31</v>
      </c>
      <c r="I795" t="s">
        <v>18</v>
      </c>
      <c r="J795" t="s">
        <v>37</v>
      </c>
      <c r="K795" s="1">
        <v>41829</v>
      </c>
      <c r="M795" s="1" t="str">
        <f>IF(ISBLANK(Data[[#This Row],[EndDate]]),"Active","InActive")</f>
        <v>Active</v>
      </c>
      <c r="N795" t="s">
        <v>20</v>
      </c>
      <c r="O795" t="s">
        <v>54</v>
      </c>
      <c r="P795" t="s">
        <v>40</v>
      </c>
      <c r="Q795" s="2">
        <v>8385</v>
      </c>
    </row>
    <row r="796" spans="1:17" x14ac:dyDescent="0.2">
      <c r="A796" s="1">
        <v>43435</v>
      </c>
      <c r="B796">
        <v>54550</v>
      </c>
      <c r="C796" t="s">
        <v>80</v>
      </c>
      <c r="D796" t="s">
        <v>15</v>
      </c>
      <c r="E796" t="s">
        <v>70</v>
      </c>
      <c r="F796" s="5">
        <v>26</v>
      </c>
      <c r="G796" t="str">
        <f>IF(Data[[#This Row],[Age]]&lt;25,"Under 25",IF(Data[[#This Row],[Age]]&lt;35,"25–34",IF(Data[[#This Row],[Age]]&lt;45,"35–44",IF(Data[[#This Row],[Age]]&lt;55,"45–54","55+"))))</f>
        <v>25–34</v>
      </c>
      <c r="H796" t="s">
        <v>46</v>
      </c>
      <c r="I796" t="s">
        <v>18</v>
      </c>
      <c r="J796" t="s">
        <v>37</v>
      </c>
      <c r="K796" s="1">
        <v>41773</v>
      </c>
      <c r="M796" s="1" t="str">
        <f>IF(ISBLANK(Data[[#This Row],[EndDate]]),"Active","InActive")</f>
        <v>Active</v>
      </c>
      <c r="N796" t="s">
        <v>20</v>
      </c>
      <c r="O796" t="s">
        <v>54</v>
      </c>
      <c r="P796" t="s">
        <v>40</v>
      </c>
      <c r="Q796" s="2">
        <v>5720</v>
      </c>
    </row>
    <row r="797" spans="1:17" x14ac:dyDescent="0.2">
      <c r="A797" s="1">
        <v>42705</v>
      </c>
      <c r="B797">
        <v>99064</v>
      </c>
      <c r="C797" t="s">
        <v>80</v>
      </c>
      <c r="D797" t="s">
        <v>47</v>
      </c>
      <c r="E797" t="s">
        <v>48</v>
      </c>
      <c r="F797" s="5">
        <v>26</v>
      </c>
      <c r="G797" t="str">
        <f>IF(Data[[#This Row],[Age]]&lt;25,"Under 25",IF(Data[[#This Row],[Age]]&lt;35,"25–34",IF(Data[[#This Row],[Age]]&lt;45,"35–44",IF(Data[[#This Row],[Age]]&lt;55,"45–54","55+"))))</f>
        <v>25–34</v>
      </c>
      <c r="H797" t="s">
        <v>25</v>
      </c>
      <c r="I797" t="s">
        <v>18</v>
      </c>
      <c r="J797" t="s">
        <v>37</v>
      </c>
      <c r="K797" s="1">
        <v>38455</v>
      </c>
      <c r="M797" s="1" t="str">
        <f>IF(ISBLANK(Data[[#This Row],[EndDate]]),"Active","InActive")</f>
        <v>Active</v>
      </c>
      <c r="N797" t="s">
        <v>20</v>
      </c>
      <c r="O797" t="s">
        <v>54</v>
      </c>
      <c r="P797" t="s">
        <v>22</v>
      </c>
      <c r="Q797" s="2">
        <v>2860</v>
      </c>
    </row>
    <row r="798" spans="1:17" x14ac:dyDescent="0.2">
      <c r="A798" s="1">
        <v>42705</v>
      </c>
      <c r="B798">
        <v>99276</v>
      </c>
      <c r="C798" t="s">
        <v>80</v>
      </c>
      <c r="D798" t="s">
        <v>50</v>
      </c>
      <c r="E798" t="s">
        <v>63</v>
      </c>
      <c r="F798" s="5">
        <v>26</v>
      </c>
      <c r="G798" t="str">
        <f>IF(Data[[#This Row],[Age]]&lt;25,"Under 25",IF(Data[[#This Row],[Age]]&lt;35,"25–34",IF(Data[[#This Row],[Age]]&lt;45,"35–44",IF(Data[[#This Row],[Age]]&lt;55,"45–54","55+"))))</f>
        <v>25–34</v>
      </c>
      <c r="H798" t="s">
        <v>59</v>
      </c>
      <c r="I798" t="s">
        <v>18</v>
      </c>
      <c r="J798" t="s">
        <v>35</v>
      </c>
      <c r="K798" s="1">
        <v>41244</v>
      </c>
      <c r="M798" s="1" t="str">
        <f>IF(ISBLANK(Data[[#This Row],[EndDate]]),"Active","InActive")</f>
        <v>Active</v>
      </c>
      <c r="N798" t="s">
        <v>20</v>
      </c>
      <c r="O798" t="s">
        <v>54</v>
      </c>
      <c r="P798" t="s">
        <v>22</v>
      </c>
      <c r="Q798" s="2">
        <v>9035</v>
      </c>
    </row>
    <row r="799" spans="1:17" x14ac:dyDescent="0.2">
      <c r="A799" s="1">
        <v>42705</v>
      </c>
      <c r="B799">
        <v>99808</v>
      </c>
      <c r="C799" t="s">
        <v>80</v>
      </c>
      <c r="D799" t="s">
        <v>52</v>
      </c>
      <c r="E799" t="s">
        <v>69</v>
      </c>
      <c r="F799" s="5">
        <v>26</v>
      </c>
      <c r="G799" t="str">
        <f>IF(Data[[#This Row],[Age]]&lt;25,"Under 25",IF(Data[[#This Row],[Age]]&lt;35,"25–34",IF(Data[[#This Row],[Age]]&lt;45,"35–44",IF(Data[[#This Row],[Age]]&lt;55,"45–54","55+"))))</f>
        <v>25–34</v>
      </c>
      <c r="H799" t="s">
        <v>46</v>
      </c>
      <c r="I799" t="s">
        <v>18</v>
      </c>
      <c r="J799" t="s">
        <v>35</v>
      </c>
      <c r="K799" s="1">
        <v>41220</v>
      </c>
      <c r="M799" s="1" t="str">
        <f>IF(ISBLANK(Data[[#This Row],[EndDate]]),"Active","InActive")</f>
        <v>Active</v>
      </c>
      <c r="N799" t="s">
        <v>20</v>
      </c>
      <c r="O799" t="s">
        <v>54</v>
      </c>
      <c r="P799" t="s">
        <v>22</v>
      </c>
      <c r="Q799" s="2">
        <v>5850</v>
      </c>
    </row>
    <row r="800" spans="1:17" x14ac:dyDescent="0.2">
      <c r="A800" s="1">
        <v>43070</v>
      </c>
      <c r="B800">
        <v>54506</v>
      </c>
      <c r="C800" t="s">
        <v>80</v>
      </c>
      <c r="D800" t="s">
        <v>27</v>
      </c>
      <c r="E800" t="s">
        <v>28</v>
      </c>
      <c r="F800" s="5">
        <v>27</v>
      </c>
      <c r="G800" t="str">
        <f>IF(Data[[#This Row],[Age]]&lt;25,"Under 25",IF(Data[[#This Row],[Age]]&lt;35,"25–34",IF(Data[[#This Row],[Age]]&lt;45,"35–44",IF(Data[[#This Row],[Age]]&lt;55,"45–54","55+"))))</f>
        <v>25–34</v>
      </c>
      <c r="H800" t="s">
        <v>31</v>
      </c>
      <c r="I800" t="s">
        <v>56</v>
      </c>
      <c r="J800" t="s">
        <v>19</v>
      </c>
      <c r="K800" s="1">
        <v>41611</v>
      </c>
      <c r="M800" s="1" t="str">
        <f>IF(ISBLANK(Data[[#This Row],[EndDate]]),"Active","InActive")</f>
        <v>Active</v>
      </c>
      <c r="N800" t="s">
        <v>57</v>
      </c>
      <c r="O800" t="s">
        <v>54</v>
      </c>
      <c r="P800" t="s">
        <v>32</v>
      </c>
      <c r="Q800" s="2">
        <v>10678.5</v>
      </c>
    </row>
    <row r="801" spans="1:17" x14ac:dyDescent="0.2">
      <c r="A801" s="1">
        <v>43070</v>
      </c>
      <c r="B801">
        <v>92324</v>
      </c>
      <c r="C801" t="s">
        <v>79</v>
      </c>
      <c r="D801" t="s">
        <v>15</v>
      </c>
      <c r="E801" t="s">
        <v>58</v>
      </c>
      <c r="F801" s="5">
        <v>27</v>
      </c>
      <c r="G801" t="str">
        <f>IF(Data[[#This Row],[Age]]&lt;25,"Under 25",IF(Data[[#This Row],[Age]]&lt;35,"25–34",IF(Data[[#This Row],[Age]]&lt;45,"35–44",IF(Data[[#This Row],[Age]]&lt;55,"45–54","55+"))))</f>
        <v>25–34</v>
      </c>
      <c r="H801" t="s">
        <v>25</v>
      </c>
      <c r="I801" t="s">
        <v>56</v>
      </c>
      <c r="J801" t="s">
        <v>19</v>
      </c>
      <c r="K801" s="1">
        <v>38505</v>
      </c>
      <c r="M801" s="1" t="str">
        <f>IF(ISBLANK(Data[[#This Row],[EndDate]]),"Active","InActive")</f>
        <v>Active</v>
      </c>
      <c r="N801" t="s">
        <v>57</v>
      </c>
      <c r="O801" t="s">
        <v>54</v>
      </c>
      <c r="P801" t="s">
        <v>32</v>
      </c>
      <c r="Q801" s="2">
        <v>8289</v>
      </c>
    </row>
    <row r="802" spans="1:17" x14ac:dyDescent="0.2">
      <c r="A802" s="1">
        <v>43435</v>
      </c>
      <c r="B802">
        <v>54384</v>
      </c>
      <c r="C802" t="s">
        <v>79</v>
      </c>
      <c r="D802" t="s">
        <v>47</v>
      </c>
      <c r="E802" t="s">
        <v>73</v>
      </c>
      <c r="F802" s="5">
        <v>27</v>
      </c>
      <c r="G802" t="str">
        <f>IF(Data[[#This Row],[Age]]&lt;25,"Under 25",IF(Data[[#This Row],[Age]]&lt;35,"25–34",IF(Data[[#This Row],[Age]]&lt;45,"35–44",IF(Data[[#This Row],[Age]]&lt;55,"45–54","55+"))))</f>
        <v>25–34</v>
      </c>
      <c r="H802" t="s">
        <v>17</v>
      </c>
      <c r="I802" t="s">
        <v>56</v>
      </c>
      <c r="J802" t="s">
        <v>37</v>
      </c>
      <c r="K802" s="1">
        <v>41297</v>
      </c>
      <c r="M802" s="1" t="str">
        <f>IF(ISBLANK(Data[[#This Row],[EndDate]]),"Active","InActive")</f>
        <v>Active</v>
      </c>
      <c r="N802" t="s">
        <v>57</v>
      </c>
      <c r="O802" t="s">
        <v>54</v>
      </c>
      <c r="P802" t="s">
        <v>40</v>
      </c>
      <c r="Q802" s="2">
        <v>4846.5</v>
      </c>
    </row>
    <row r="803" spans="1:17" x14ac:dyDescent="0.2">
      <c r="A803" s="1">
        <v>42705</v>
      </c>
      <c r="B803">
        <v>17362</v>
      </c>
      <c r="C803" t="s">
        <v>79</v>
      </c>
      <c r="D803" t="s">
        <v>15</v>
      </c>
      <c r="E803" t="s">
        <v>58</v>
      </c>
      <c r="F803" s="5">
        <v>27</v>
      </c>
      <c r="G803" t="str">
        <f>IF(Data[[#This Row],[Age]]&lt;25,"Under 25",IF(Data[[#This Row],[Age]]&lt;35,"25–34",IF(Data[[#This Row],[Age]]&lt;45,"35–44",IF(Data[[#This Row],[Age]]&lt;55,"45–54","55+"))))</f>
        <v>25–34</v>
      </c>
      <c r="H803" t="s">
        <v>46</v>
      </c>
      <c r="I803" t="s">
        <v>56</v>
      </c>
      <c r="J803" t="s">
        <v>19</v>
      </c>
      <c r="K803" s="1">
        <v>40897</v>
      </c>
      <c r="M803" s="1" t="str">
        <f>IF(ISBLANK(Data[[#This Row],[EndDate]]),"Active","InActive")</f>
        <v>Active</v>
      </c>
      <c r="N803" t="s">
        <v>57</v>
      </c>
      <c r="O803" t="s">
        <v>54</v>
      </c>
      <c r="P803" t="s">
        <v>22</v>
      </c>
      <c r="Q803" s="2">
        <v>3186</v>
      </c>
    </row>
    <row r="804" spans="1:17" x14ac:dyDescent="0.2">
      <c r="A804" s="1">
        <v>43070</v>
      </c>
      <c r="B804">
        <v>16718</v>
      </c>
      <c r="C804" t="s">
        <v>80</v>
      </c>
      <c r="D804" t="s">
        <v>50</v>
      </c>
      <c r="E804" t="s">
        <v>55</v>
      </c>
      <c r="F804" s="5">
        <v>27</v>
      </c>
      <c r="G804" t="str">
        <f>IF(Data[[#This Row],[Age]]&lt;25,"Under 25",IF(Data[[#This Row],[Age]]&lt;35,"25–34",IF(Data[[#This Row],[Age]]&lt;45,"35–44",IF(Data[[#This Row],[Age]]&lt;55,"45–54","55+"))))</f>
        <v>25–34</v>
      </c>
      <c r="H804" t="s">
        <v>49</v>
      </c>
      <c r="I804" t="s">
        <v>18</v>
      </c>
      <c r="J804" t="s">
        <v>35</v>
      </c>
      <c r="K804" s="1">
        <v>41313</v>
      </c>
      <c r="M804" s="1" t="str">
        <f>IF(ISBLANK(Data[[#This Row],[EndDate]]),"Active","InActive")</f>
        <v>Active</v>
      </c>
      <c r="N804" t="s">
        <v>20</v>
      </c>
      <c r="O804" t="s">
        <v>54</v>
      </c>
      <c r="P804" t="s">
        <v>32</v>
      </c>
      <c r="Q804" s="2">
        <v>3807</v>
      </c>
    </row>
    <row r="805" spans="1:17" x14ac:dyDescent="0.2">
      <c r="A805" s="1">
        <v>43070</v>
      </c>
      <c r="B805">
        <v>33140</v>
      </c>
      <c r="C805" t="s">
        <v>80</v>
      </c>
      <c r="D805" t="s">
        <v>27</v>
      </c>
      <c r="E805" t="s">
        <v>72</v>
      </c>
      <c r="F805" s="5">
        <v>27</v>
      </c>
      <c r="G805" t="str">
        <f>IF(Data[[#This Row],[Age]]&lt;25,"Under 25",IF(Data[[#This Row],[Age]]&lt;35,"25–34",IF(Data[[#This Row],[Age]]&lt;45,"35–44",IF(Data[[#This Row],[Age]]&lt;55,"45–54","55+"))))</f>
        <v>25–34</v>
      </c>
      <c r="H805" t="s">
        <v>46</v>
      </c>
      <c r="I805" t="s">
        <v>18</v>
      </c>
      <c r="J805" t="s">
        <v>26</v>
      </c>
      <c r="K805" s="1">
        <v>41570</v>
      </c>
      <c r="M805" s="1" t="str">
        <f>IF(ISBLANK(Data[[#This Row],[EndDate]]),"Active","InActive")</f>
        <v>Active</v>
      </c>
      <c r="N805" t="s">
        <v>20</v>
      </c>
      <c r="O805" t="s">
        <v>54</v>
      </c>
      <c r="P805" t="s">
        <v>32</v>
      </c>
      <c r="Q805" s="2">
        <v>2565</v>
      </c>
    </row>
    <row r="806" spans="1:17" x14ac:dyDescent="0.2">
      <c r="A806" s="1">
        <v>43070</v>
      </c>
      <c r="B806">
        <v>33812</v>
      </c>
      <c r="C806" t="s">
        <v>80</v>
      </c>
      <c r="D806" t="s">
        <v>43</v>
      </c>
      <c r="E806" t="s">
        <v>66</v>
      </c>
      <c r="F806" s="5">
        <v>27</v>
      </c>
      <c r="G806" t="str">
        <f>IF(Data[[#This Row],[Age]]&lt;25,"Under 25",IF(Data[[#This Row],[Age]]&lt;35,"25–34",IF(Data[[#This Row],[Age]]&lt;45,"35–44",IF(Data[[#This Row],[Age]]&lt;55,"45–54","55+"))))</f>
        <v>25–34</v>
      </c>
      <c r="H806" t="s">
        <v>46</v>
      </c>
      <c r="I806" t="s">
        <v>18</v>
      </c>
      <c r="J806" t="s">
        <v>37</v>
      </c>
      <c r="K806" s="1">
        <v>40921</v>
      </c>
      <c r="M806" s="1" t="str">
        <f>IF(ISBLANK(Data[[#This Row],[EndDate]]),"Active","InActive")</f>
        <v>Active</v>
      </c>
      <c r="N806" t="s">
        <v>20</v>
      </c>
      <c r="O806" t="s">
        <v>54</v>
      </c>
      <c r="P806" t="s">
        <v>32</v>
      </c>
      <c r="Q806" s="2">
        <v>4360.5</v>
      </c>
    </row>
    <row r="807" spans="1:17" x14ac:dyDescent="0.2">
      <c r="A807" s="1">
        <v>43070</v>
      </c>
      <c r="B807">
        <v>51312</v>
      </c>
      <c r="C807" t="s">
        <v>80</v>
      </c>
      <c r="D807" t="s">
        <v>15</v>
      </c>
      <c r="E807" t="s">
        <v>16</v>
      </c>
      <c r="F807" s="5">
        <v>27</v>
      </c>
      <c r="G807" t="str">
        <f>IF(Data[[#This Row],[Age]]&lt;25,"Under 25",IF(Data[[#This Row],[Age]]&lt;35,"25–34",IF(Data[[#This Row],[Age]]&lt;45,"35–44",IF(Data[[#This Row],[Age]]&lt;55,"45–54","55+"))))</f>
        <v>25–34</v>
      </c>
      <c r="H807" t="s">
        <v>31</v>
      </c>
      <c r="I807" t="s">
        <v>56</v>
      </c>
      <c r="J807" t="s">
        <v>37</v>
      </c>
      <c r="K807" s="1">
        <v>38252</v>
      </c>
      <c r="M807" s="1" t="str">
        <f>IF(ISBLANK(Data[[#This Row],[EndDate]]),"Active","InActive")</f>
        <v>Active</v>
      </c>
      <c r="N807" t="s">
        <v>57</v>
      </c>
      <c r="O807" t="s">
        <v>54</v>
      </c>
      <c r="P807" t="s">
        <v>32</v>
      </c>
      <c r="Q807" s="2">
        <v>11340</v>
      </c>
    </row>
    <row r="808" spans="1:17" x14ac:dyDescent="0.2">
      <c r="A808" s="1">
        <v>43070</v>
      </c>
      <c r="B808">
        <v>53804</v>
      </c>
      <c r="C808" t="s">
        <v>79</v>
      </c>
      <c r="D808" t="s">
        <v>43</v>
      </c>
      <c r="E808" t="s">
        <v>44</v>
      </c>
      <c r="F808" s="5">
        <v>27</v>
      </c>
      <c r="G808" t="str">
        <f>IF(Data[[#This Row],[Age]]&lt;25,"Under 25",IF(Data[[#This Row],[Age]]&lt;35,"25–34",IF(Data[[#This Row],[Age]]&lt;45,"35–44",IF(Data[[#This Row],[Age]]&lt;55,"45–54","55+"))))</f>
        <v>25–34</v>
      </c>
      <c r="H808" t="s">
        <v>46</v>
      </c>
      <c r="I808" t="s">
        <v>56</v>
      </c>
      <c r="J808" t="s">
        <v>35</v>
      </c>
      <c r="K808" s="1">
        <v>38656</v>
      </c>
      <c r="L808" s="1">
        <v>38756</v>
      </c>
      <c r="M808" s="1" t="str">
        <f>IF(ISBLANK(Data[[#This Row],[EndDate]]),"Active","InActive")</f>
        <v>InActive</v>
      </c>
      <c r="N808" t="s">
        <v>57</v>
      </c>
      <c r="O808" t="s">
        <v>54</v>
      </c>
      <c r="P808" t="s">
        <v>32</v>
      </c>
      <c r="Q808" s="2">
        <v>11016</v>
      </c>
    </row>
    <row r="809" spans="1:17" x14ac:dyDescent="0.2">
      <c r="A809" s="1">
        <v>43435</v>
      </c>
      <c r="B809">
        <v>41046</v>
      </c>
      <c r="C809" t="s">
        <v>80</v>
      </c>
      <c r="D809" t="s">
        <v>38</v>
      </c>
      <c r="E809" t="s">
        <v>45</v>
      </c>
      <c r="F809" s="5">
        <v>27</v>
      </c>
      <c r="G809" t="str">
        <f>IF(Data[[#This Row],[Age]]&lt;25,"Under 25",IF(Data[[#This Row],[Age]]&lt;35,"25–34",IF(Data[[#This Row],[Age]]&lt;45,"35–44",IF(Data[[#This Row],[Age]]&lt;55,"45–54","55+"))))</f>
        <v>25–34</v>
      </c>
      <c r="H809" t="s">
        <v>17</v>
      </c>
      <c r="I809" t="s">
        <v>56</v>
      </c>
      <c r="J809" t="s">
        <v>37</v>
      </c>
      <c r="K809" s="1">
        <v>41746</v>
      </c>
      <c r="M809" s="1" t="str">
        <f>IF(ISBLANK(Data[[#This Row],[EndDate]]),"Active","InActive")</f>
        <v>Active</v>
      </c>
      <c r="N809" t="s">
        <v>57</v>
      </c>
      <c r="O809" t="s">
        <v>54</v>
      </c>
      <c r="P809" t="s">
        <v>40</v>
      </c>
      <c r="Q809" s="2">
        <v>6966</v>
      </c>
    </row>
    <row r="810" spans="1:17" x14ac:dyDescent="0.2">
      <c r="A810" s="1">
        <v>43435</v>
      </c>
      <c r="B810">
        <v>42476</v>
      </c>
      <c r="C810" t="s">
        <v>80</v>
      </c>
      <c r="D810" t="s">
        <v>27</v>
      </c>
      <c r="E810" t="s">
        <v>74</v>
      </c>
      <c r="F810" s="5">
        <v>27</v>
      </c>
      <c r="G810" t="str">
        <f>IF(Data[[#This Row],[Age]]&lt;25,"Under 25",IF(Data[[#This Row],[Age]]&lt;35,"25–34",IF(Data[[#This Row],[Age]]&lt;45,"35–44",IF(Data[[#This Row],[Age]]&lt;55,"45–54","55+"))))</f>
        <v>25–34</v>
      </c>
      <c r="H810" t="s">
        <v>59</v>
      </c>
      <c r="I810" t="s">
        <v>18</v>
      </c>
      <c r="J810" t="s">
        <v>35</v>
      </c>
      <c r="K810" s="1">
        <v>41783</v>
      </c>
      <c r="M810" s="1" t="str">
        <f>IF(ISBLANK(Data[[#This Row],[EndDate]]),"Active","InActive")</f>
        <v>Active</v>
      </c>
      <c r="N810" t="s">
        <v>20</v>
      </c>
      <c r="O810" t="s">
        <v>54</v>
      </c>
      <c r="P810" t="s">
        <v>40</v>
      </c>
      <c r="Q810" s="2">
        <v>2470.5</v>
      </c>
    </row>
    <row r="811" spans="1:17" x14ac:dyDescent="0.2">
      <c r="A811" s="1">
        <v>43435</v>
      </c>
      <c r="B811">
        <v>42496</v>
      </c>
      <c r="C811" t="s">
        <v>80</v>
      </c>
      <c r="D811" t="s">
        <v>50</v>
      </c>
      <c r="E811" t="s">
        <v>63</v>
      </c>
      <c r="F811" s="5">
        <v>27</v>
      </c>
      <c r="G811" t="str">
        <f>IF(Data[[#This Row],[Age]]&lt;25,"Under 25",IF(Data[[#This Row],[Age]]&lt;35,"25–34",IF(Data[[#This Row],[Age]]&lt;45,"35–44",IF(Data[[#This Row],[Age]]&lt;55,"45–54","55+"))))</f>
        <v>25–34</v>
      </c>
      <c r="H811" t="s">
        <v>31</v>
      </c>
      <c r="I811" t="s">
        <v>56</v>
      </c>
      <c r="J811" t="s">
        <v>35</v>
      </c>
      <c r="K811" s="1">
        <v>41794</v>
      </c>
      <c r="M811" s="1" t="str">
        <f>IF(ISBLANK(Data[[#This Row],[EndDate]]),"Active","InActive")</f>
        <v>Active</v>
      </c>
      <c r="N811" t="s">
        <v>57</v>
      </c>
      <c r="O811" t="s">
        <v>54</v>
      </c>
      <c r="P811" t="s">
        <v>40</v>
      </c>
      <c r="Q811" s="2">
        <v>9909</v>
      </c>
    </row>
    <row r="812" spans="1:17" x14ac:dyDescent="0.2">
      <c r="A812" s="1">
        <v>43435</v>
      </c>
      <c r="B812">
        <v>44110</v>
      </c>
      <c r="C812" t="s">
        <v>80</v>
      </c>
      <c r="D812" t="s">
        <v>23</v>
      </c>
      <c r="E812" t="s">
        <v>24</v>
      </c>
      <c r="F812" s="5">
        <v>27</v>
      </c>
      <c r="G812" t="str">
        <f>IF(Data[[#This Row],[Age]]&lt;25,"Under 25",IF(Data[[#This Row],[Age]]&lt;35,"25–34",IF(Data[[#This Row],[Age]]&lt;45,"35–44",IF(Data[[#This Row],[Age]]&lt;55,"45–54","55+"))))</f>
        <v>25–34</v>
      </c>
      <c r="H812" t="s">
        <v>31</v>
      </c>
      <c r="I812" t="s">
        <v>18</v>
      </c>
      <c r="J812" t="s">
        <v>37</v>
      </c>
      <c r="K812" s="1">
        <v>39988</v>
      </c>
      <c r="M812" s="1" t="str">
        <f>IF(ISBLANK(Data[[#This Row],[EndDate]]),"Active","InActive")</f>
        <v>Active</v>
      </c>
      <c r="N812" t="s">
        <v>20</v>
      </c>
      <c r="O812" t="s">
        <v>54</v>
      </c>
      <c r="P812" t="s">
        <v>40</v>
      </c>
      <c r="Q812" s="2">
        <v>1633.5</v>
      </c>
    </row>
    <row r="813" spans="1:17" x14ac:dyDescent="0.2">
      <c r="A813" s="1">
        <v>43435</v>
      </c>
      <c r="B813">
        <v>91920</v>
      </c>
      <c r="C813" t="s">
        <v>80</v>
      </c>
      <c r="D813" t="s">
        <v>41</v>
      </c>
      <c r="E813" t="s">
        <v>62</v>
      </c>
      <c r="F813" s="5">
        <v>27</v>
      </c>
      <c r="G813" t="str">
        <f>IF(Data[[#This Row],[Age]]&lt;25,"Under 25",IF(Data[[#This Row],[Age]]&lt;35,"25–34",IF(Data[[#This Row],[Age]]&lt;45,"35–44",IF(Data[[#This Row],[Age]]&lt;55,"45–54","55+"))))</f>
        <v>25–34</v>
      </c>
      <c r="H813" t="s">
        <v>17</v>
      </c>
      <c r="I813" t="s">
        <v>56</v>
      </c>
      <c r="J813" t="s">
        <v>19</v>
      </c>
      <c r="K813" s="1">
        <v>41853</v>
      </c>
      <c r="M813" s="1" t="str">
        <f>IF(ISBLANK(Data[[#This Row],[EndDate]]),"Active","InActive")</f>
        <v>Active</v>
      </c>
      <c r="N813" t="s">
        <v>57</v>
      </c>
      <c r="O813" t="s">
        <v>54</v>
      </c>
      <c r="P813" t="s">
        <v>40</v>
      </c>
      <c r="Q813" s="2">
        <v>2389.5</v>
      </c>
    </row>
    <row r="814" spans="1:17" x14ac:dyDescent="0.2">
      <c r="A814" s="1">
        <v>43435</v>
      </c>
      <c r="B814">
        <v>92420</v>
      </c>
      <c r="C814" t="s">
        <v>80</v>
      </c>
      <c r="D814" t="s">
        <v>52</v>
      </c>
      <c r="E814" t="s">
        <v>67</v>
      </c>
      <c r="F814" s="5">
        <v>27</v>
      </c>
      <c r="G814" t="str">
        <f>IF(Data[[#This Row],[Age]]&lt;25,"Under 25",IF(Data[[#This Row],[Age]]&lt;35,"25–34",IF(Data[[#This Row],[Age]]&lt;45,"35–44",IF(Data[[#This Row],[Age]]&lt;55,"45–54","55+"))))</f>
        <v>25–34</v>
      </c>
      <c r="H814" t="s">
        <v>31</v>
      </c>
      <c r="I814" t="s">
        <v>56</v>
      </c>
      <c r="J814" t="s">
        <v>19</v>
      </c>
      <c r="K814" s="1">
        <v>38161</v>
      </c>
      <c r="L814" s="1">
        <v>38281</v>
      </c>
      <c r="M814" s="1" t="str">
        <f>IF(ISBLANK(Data[[#This Row],[EndDate]]),"Active","InActive")</f>
        <v>InActive</v>
      </c>
      <c r="N814" t="s">
        <v>57</v>
      </c>
      <c r="O814" t="s">
        <v>54</v>
      </c>
      <c r="P814" t="s">
        <v>40</v>
      </c>
      <c r="Q814" s="2">
        <v>7182</v>
      </c>
    </row>
    <row r="815" spans="1:17" x14ac:dyDescent="0.2">
      <c r="A815" s="1">
        <v>42705</v>
      </c>
      <c r="B815">
        <v>29632</v>
      </c>
      <c r="C815" t="s">
        <v>80</v>
      </c>
      <c r="D815" t="s">
        <v>50</v>
      </c>
      <c r="E815" t="s">
        <v>55</v>
      </c>
      <c r="F815" s="5">
        <v>27</v>
      </c>
      <c r="G815" t="str">
        <f>IF(Data[[#This Row],[Age]]&lt;25,"Under 25",IF(Data[[#This Row],[Age]]&lt;35,"25–34",IF(Data[[#This Row],[Age]]&lt;45,"35–44",IF(Data[[#This Row],[Age]]&lt;55,"45–54","55+"))))</f>
        <v>25–34</v>
      </c>
      <c r="H815" t="s">
        <v>25</v>
      </c>
      <c r="I815" t="s">
        <v>18</v>
      </c>
      <c r="J815" t="s">
        <v>35</v>
      </c>
      <c r="K815" s="1">
        <v>40269</v>
      </c>
      <c r="M815" s="1" t="str">
        <f>IF(ISBLANK(Data[[#This Row],[EndDate]]),"Active","InActive")</f>
        <v>Active</v>
      </c>
      <c r="N815" t="s">
        <v>20</v>
      </c>
      <c r="O815" t="s">
        <v>54</v>
      </c>
      <c r="P815" t="s">
        <v>22</v>
      </c>
      <c r="Q815" s="2">
        <v>4954.5</v>
      </c>
    </row>
    <row r="816" spans="1:17" x14ac:dyDescent="0.2">
      <c r="A816" s="1">
        <v>42705</v>
      </c>
      <c r="B816">
        <v>41050</v>
      </c>
      <c r="C816" t="s">
        <v>80</v>
      </c>
      <c r="D816" t="s">
        <v>29</v>
      </c>
      <c r="E816" t="s">
        <v>30</v>
      </c>
      <c r="F816" s="5">
        <v>27</v>
      </c>
      <c r="G816" t="str">
        <f>IF(Data[[#This Row],[Age]]&lt;25,"Under 25",IF(Data[[#This Row],[Age]]&lt;35,"25–34",IF(Data[[#This Row],[Age]]&lt;45,"35–44",IF(Data[[#This Row],[Age]]&lt;55,"45–54","55+"))))</f>
        <v>25–34</v>
      </c>
      <c r="H816" t="s">
        <v>25</v>
      </c>
      <c r="I816" t="s">
        <v>18</v>
      </c>
      <c r="J816" t="s">
        <v>37</v>
      </c>
      <c r="K816" s="1">
        <v>39445</v>
      </c>
      <c r="M816" s="1" t="str">
        <f>IF(ISBLANK(Data[[#This Row],[EndDate]]),"Active","InActive")</f>
        <v>Active</v>
      </c>
      <c r="N816" t="s">
        <v>20</v>
      </c>
      <c r="O816" t="s">
        <v>54</v>
      </c>
      <c r="P816" t="s">
        <v>22</v>
      </c>
      <c r="Q816" s="2">
        <v>5332.5</v>
      </c>
    </row>
    <row r="817" spans="1:17" x14ac:dyDescent="0.2">
      <c r="A817" s="1">
        <v>42705</v>
      </c>
      <c r="B817">
        <v>56508</v>
      </c>
      <c r="C817" t="s">
        <v>79</v>
      </c>
      <c r="D817" t="s">
        <v>47</v>
      </c>
      <c r="E817" t="s">
        <v>64</v>
      </c>
      <c r="F817" s="5">
        <v>27</v>
      </c>
      <c r="G817" t="str">
        <f>IF(Data[[#This Row],[Age]]&lt;25,"Under 25",IF(Data[[#This Row],[Age]]&lt;35,"25–34",IF(Data[[#This Row],[Age]]&lt;45,"35–44",IF(Data[[#This Row],[Age]]&lt;55,"45–54","55+"))))</f>
        <v>25–34</v>
      </c>
      <c r="H817" t="s">
        <v>25</v>
      </c>
      <c r="I817" t="s">
        <v>56</v>
      </c>
      <c r="J817" t="s">
        <v>37</v>
      </c>
      <c r="K817" s="1">
        <v>38203</v>
      </c>
      <c r="M817" s="1" t="str">
        <f>IF(ISBLANK(Data[[#This Row],[EndDate]]),"Active","InActive")</f>
        <v>Active</v>
      </c>
      <c r="N817" t="s">
        <v>57</v>
      </c>
      <c r="O817" t="s">
        <v>54</v>
      </c>
      <c r="P817" t="s">
        <v>22</v>
      </c>
      <c r="Q817" s="2">
        <v>5886</v>
      </c>
    </row>
    <row r="818" spans="1:17" x14ac:dyDescent="0.2">
      <c r="A818" s="1">
        <v>42705</v>
      </c>
      <c r="B818">
        <v>101338</v>
      </c>
      <c r="C818" t="s">
        <v>80</v>
      </c>
      <c r="D818" t="s">
        <v>38</v>
      </c>
      <c r="E818" t="s">
        <v>61</v>
      </c>
      <c r="F818" s="5">
        <v>27</v>
      </c>
      <c r="G818" t="str">
        <f>IF(Data[[#This Row],[Age]]&lt;25,"Under 25",IF(Data[[#This Row],[Age]]&lt;35,"25–34",IF(Data[[#This Row],[Age]]&lt;45,"35–44",IF(Data[[#This Row],[Age]]&lt;55,"45–54","55+"))))</f>
        <v>25–34</v>
      </c>
      <c r="H818" t="s">
        <v>25</v>
      </c>
      <c r="I818" t="s">
        <v>18</v>
      </c>
      <c r="J818" t="s">
        <v>37</v>
      </c>
      <c r="K818" s="1">
        <v>41229</v>
      </c>
      <c r="M818" s="1" t="str">
        <f>IF(ISBLANK(Data[[#This Row],[EndDate]]),"Active","InActive")</f>
        <v>Active</v>
      </c>
      <c r="N818" t="s">
        <v>20</v>
      </c>
      <c r="O818" t="s">
        <v>54</v>
      </c>
      <c r="P818" t="s">
        <v>22</v>
      </c>
      <c r="Q818" s="2">
        <v>4995</v>
      </c>
    </row>
    <row r="819" spans="1:17" x14ac:dyDescent="0.2">
      <c r="A819" s="1">
        <v>43070</v>
      </c>
      <c r="B819">
        <v>49444</v>
      </c>
      <c r="C819" t="s">
        <v>80</v>
      </c>
      <c r="D819" t="s">
        <v>38</v>
      </c>
      <c r="E819" t="s">
        <v>39</v>
      </c>
      <c r="F819" s="5">
        <v>27</v>
      </c>
      <c r="G819" t="str">
        <f>IF(Data[[#This Row],[Age]]&lt;25,"Under 25",IF(Data[[#This Row],[Age]]&lt;35,"25–34",IF(Data[[#This Row],[Age]]&lt;45,"35–44",IF(Data[[#This Row],[Age]]&lt;55,"45–54","55+"))))</f>
        <v>25–34</v>
      </c>
      <c r="H819" t="s">
        <v>25</v>
      </c>
      <c r="I819" t="s">
        <v>18</v>
      </c>
      <c r="J819" t="s">
        <v>35</v>
      </c>
      <c r="K819" s="1">
        <v>41173</v>
      </c>
      <c r="M819" s="1" t="str">
        <f>IF(ISBLANK(Data[[#This Row],[EndDate]]),"Active","InActive")</f>
        <v>Active</v>
      </c>
      <c r="N819" t="s">
        <v>20</v>
      </c>
      <c r="O819" t="s">
        <v>54</v>
      </c>
      <c r="P819" t="s">
        <v>32</v>
      </c>
      <c r="Q819" s="2">
        <v>3726</v>
      </c>
    </row>
    <row r="820" spans="1:17" x14ac:dyDescent="0.2">
      <c r="A820" s="1">
        <v>43435</v>
      </c>
      <c r="B820">
        <v>50340</v>
      </c>
      <c r="C820" t="s">
        <v>79</v>
      </c>
      <c r="D820" t="s">
        <v>15</v>
      </c>
      <c r="E820" t="s">
        <v>16</v>
      </c>
      <c r="F820" s="5">
        <v>27</v>
      </c>
      <c r="G820" t="str">
        <f>IF(Data[[#This Row],[Age]]&lt;25,"Under 25",IF(Data[[#This Row],[Age]]&lt;35,"25–34",IF(Data[[#This Row],[Age]]&lt;45,"35–44",IF(Data[[#This Row],[Age]]&lt;55,"45–54","55+"))))</f>
        <v>25–34</v>
      </c>
      <c r="H820" t="s">
        <v>25</v>
      </c>
      <c r="I820" t="s">
        <v>56</v>
      </c>
      <c r="J820" t="s">
        <v>37</v>
      </c>
      <c r="K820" s="1">
        <v>41084</v>
      </c>
      <c r="M820" s="1" t="str">
        <f>IF(ISBLANK(Data[[#This Row],[EndDate]]),"Active","InActive")</f>
        <v>Active</v>
      </c>
      <c r="N820" t="s">
        <v>57</v>
      </c>
      <c r="O820" t="s">
        <v>54</v>
      </c>
      <c r="P820" t="s">
        <v>40</v>
      </c>
      <c r="Q820" s="2">
        <v>10692</v>
      </c>
    </row>
    <row r="821" spans="1:17" x14ac:dyDescent="0.2">
      <c r="A821" s="1">
        <v>43435</v>
      </c>
      <c r="B821">
        <v>53726</v>
      </c>
      <c r="C821" t="s">
        <v>79</v>
      </c>
      <c r="D821" t="s">
        <v>50</v>
      </c>
      <c r="E821" t="s">
        <v>63</v>
      </c>
      <c r="F821" s="5">
        <v>27</v>
      </c>
      <c r="G821" t="str">
        <f>IF(Data[[#This Row],[Age]]&lt;25,"Under 25",IF(Data[[#This Row],[Age]]&lt;35,"25–34",IF(Data[[#This Row],[Age]]&lt;45,"35–44",IF(Data[[#This Row],[Age]]&lt;55,"45–54","55+"))))</f>
        <v>25–34</v>
      </c>
      <c r="H821" t="s">
        <v>25</v>
      </c>
      <c r="I821" t="s">
        <v>18</v>
      </c>
      <c r="J821" t="s">
        <v>35</v>
      </c>
      <c r="K821" s="1">
        <v>41011</v>
      </c>
      <c r="M821" s="1" t="str">
        <f>IF(ISBLANK(Data[[#This Row],[EndDate]]),"Active","InActive")</f>
        <v>Active</v>
      </c>
      <c r="N821" t="s">
        <v>20</v>
      </c>
      <c r="O821" t="s">
        <v>54</v>
      </c>
      <c r="P821" t="s">
        <v>40</v>
      </c>
      <c r="Q821" s="2">
        <v>6790.5</v>
      </c>
    </row>
    <row r="822" spans="1:17" x14ac:dyDescent="0.2">
      <c r="A822" s="1">
        <v>42705</v>
      </c>
      <c r="B822">
        <v>49776</v>
      </c>
      <c r="C822" t="s">
        <v>79</v>
      </c>
      <c r="D822" t="s">
        <v>23</v>
      </c>
      <c r="E822" t="s">
        <v>71</v>
      </c>
      <c r="F822" s="5">
        <v>27</v>
      </c>
      <c r="G822" t="str">
        <f>IF(Data[[#This Row],[Age]]&lt;25,"Under 25",IF(Data[[#This Row],[Age]]&lt;35,"25–34",IF(Data[[#This Row],[Age]]&lt;45,"35–44",IF(Data[[#This Row],[Age]]&lt;55,"45–54","55+"))))</f>
        <v>25–34</v>
      </c>
      <c r="H822" t="s">
        <v>49</v>
      </c>
      <c r="I822" t="s">
        <v>56</v>
      </c>
      <c r="J822" t="s">
        <v>37</v>
      </c>
      <c r="K822" s="1">
        <v>38910</v>
      </c>
      <c r="L822" s="1">
        <v>38945</v>
      </c>
      <c r="M822" s="1" t="str">
        <f>IF(ISBLANK(Data[[#This Row],[EndDate]]),"Active","InActive")</f>
        <v>InActive</v>
      </c>
      <c r="N822" t="s">
        <v>57</v>
      </c>
      <c r="O822" t="s">
        <v>54</v>
      </c>
      <c r="P822" t="s">
        <v>22</v>
      </c>
      <c r="Q822" s="2">
        <v>11961</v>
      </c>
    </row>
    <row r="823" spans="1:17" x14ac:dyDescent="0.2">
      <c r="A823" s="1">
        <v>42705</v>
      </c>
      <c r="B823">
        <v>106318</v>
      </c>
      <c r="C823" t="s">
        <v>80</v>
      </c>
      <c r="D823" t="s">
        <v>41</v>
      </c>
      <c r="E823" t="s">
        <v>68</v>
      </c>
      <c r="F823" s="5">
        <v>27</v>
      </c>
      <c r="G823" t="str">
        <f>IF(Data[[#This Row],[Age]]&lt;25,"Under 25",IF(Data[[#This Row],[Age]]&lt;35,"25–34",IF(Data[[#This Row],[Age]]&lt;45,"35–44",IF(Data[[#This Row],[Age]]&lt;55,"45–54","55+"))))</f>
        <v>25–34</v>
      </c>
      <c r="H823" t="s">
        <v>34</v>
      </c>
      <c r="I823" t="s">
        <v>18</v>
      </c>
      <c r="J823" t="s">
        <v>37</v>
      </c>
      <c r="K823" s="1">
        <v>39385</v>
      </c>
      <c r="M823" s="1" t="str">
        <f>IF(ISBLANK(Data[[#This Row],[EndDate]]),"Active","InActive")</f>
        <v>Active</v>
      </c>
      <c r="N823" t="s">
        <v>20</v>
      </c>
      <c r="O823" t="s">
        <v>54</v>
      </c>
      <c r="P823" t="s">
        <v>22</v>
      </c>
      <c r="Q823" s="2">
        <v>9868.5</v>
      </c>
    </row>
    <row r="824" spans="1:17" x14ac:dyDescent="0.2">
      <c r="A824" s="1">
        <v>43070</v>
      </c>
      <c r="B824">
        <v>40486</v>
      </c>
      <c r="C824" t="s">
        <v>80</v>
      </c>
      <c r="D824" t="s">
        <v>27</v>
      </c>
      <c r="E824" t="s">
        <v>72</v>
      </c>
      <c r="F824" s="5">
        <v>27</v>
      </c>
      <c r="G824" t="str">
        <f>IF(Data[[#This Row],[Age]]&lt;25,"Under 25",IF(Data[[#This Row],[Age]]&lt;35,"25–34",IF(Data[[#This Row],[Age]]&lt;45,"35–44",IF(Data[[#This Row],[Age]]&lt;55,"45–54","55+"))))</f>
        <v>25–34</v>
      </c>
      <c r="H824" t="s">
        <v>49</v>
      </c>
      <c r="I824" t="s">
        <v>18</v>
      </c>
      <c r="J824" t="s">
        <v>37</v>
      </c>
      <c r="K824" s="1">
        <v>40849</v>
      </c>
      <c r="M824" s="1" t="str">
        <f>IF(ISBLANK(Data[[#This Row],[EndDate]]),"Active","InActive")</f>
        <v>Active</v>
      </c>
      <c r="N824" t="s">
        <v>20</v>
      </c>
      <c r="O824" t="s">
        <v>54</v>
      </c>
      <c r="P824" t="s">
        <v>32</v>
      </c>
      <c r="Q824" s="2">
        <v>12055.5</v>
      </c>
    </row>
    <row r="825" spans="1:17" x14ac:dyDescent="0.2">
      <c r="A825" s="1">
        <v>43070</v>
      </c>
      <c r="B825">
        <v>52982</v>
      </c>
      <c r="C825" t="s">
        <v>80</v>
      </c>
      <c r="D825" t="s">
        <v>41</v>
      </c>
      <c r="E825" t="s">
        <v>68</v>
      </c>
      <c r="F825" s="5">
        <v>27</v>
      </c>
      <c r="G825" t="str">
        <f>IF(Data[[#This Row],[Age]]&lt;25,"Under 25",IF(Data[[#This Row],[Age]]&lt;35,"25–34",IF(Data[[#This Row],[Age]]&lt;45,"35–44",IF(Data[[#This Row],[Age]]&lt;55,"45–54","55+"))))</f>
        <v>25–34</v>
      </c>
      <c r="H825" t="s">
        <v>17</v>
      </c>
      <c r="I825" t="s">
        <v>56</v>
      </c>
      <c r="J825" t="s">
        <v>37</v>
      </c>
      <c r="K825" s="1">
        <v>38897</v>
      </c>
      <c r="M825" s="1" t="str">
        <f>IF(ISBLANK(Data[[#This Row],[EndDate]]),"Active","InActive")</f>
        <v>Active</v>
      </c>
      <c r="N825" t="s">
        <v>57</v>
      </c>
      <c r="O825" t="s">
        <v>54</v>
      </c>
      <c r="P825" t="s">
        <v>32</v>
      </c>
      <c r="Q825" s="2">
        <v>6669</v>
      </c>
    </row>
    <row r="826" spans="1:17" x14ac:dyDescent="0.2">
      <c r="A826" s="1">
        <v>43070</v>
      </c>
      <c r="B826">
        <v>54338</v>
      </c>
      <c r="C826" t="s">
        <v>80</v>
      </c>
      <c r="D826" t="s">
        <v>27</v>
      </c>
      <c r="E826" t="s">
        <v>72</v>
      </c>
      <c r="F826" s="5">
        <v>27</v>
      </c>
      <c r="G826" t="str">
        <f>IF(Data[[#This Row],[Age]]&lt;25,"Under 25",IF(Data[[#This Row],[Age]]&lt;35,"25–34",IF(Data[[#This Row],[Age]]&lt;45,"35–44",IF(Data[[#This Row],[Age]]&lt;55,"45–54","55+"))))</f>
        <v>25–34</v>
      </c>
      <c r="H826" t="s">
        <v>46</v>
      </c>
      <c r="I826" t="s">
        <v>56</v>
      </c>
      <c r="J826" t="s">
        <v>37</v>
      </c>
      <c r="K826" s="1">
        <v>40549</v>
      </c>
      <c r="M826" s="1" t="str">
        <f>IF(ISBLANK(Data[[#This Row],[EndDate]]),"Active","InActive")</f>
        <v>Active</v>
      </c>
      <c r="N826" t="s">
        <v>57</v>
      </c>
      <c r="O826" t="s">
        <v>54</v>
      </c>
      <c r="P826" t="s">
        <v>32</v>
      </c>
      <c r="Q826" s="2">
        <v>4738.5</v>
      </c>
    </row>
    <row r="827" spans="1:17" x14ac:dyDescent="0.2">
      <c r="A827" s="1">
        <v>43435</v>
      </c>
      <c r="B827">
        <v>43380</v>
      </c>
      <c r="C827" t="s">
        <v>80</v>
      </c>
      <c r="D827" t="s">
        <v>43</v>
      </c>
      <c r="E827" t="s">
        <v>66</v>
      </c>
      <c r="F827" s="5">
        <v>27</v>
      </c>
      <c r="G827" t="str">
        <f>IF(Data[[#This Row],[Age]]&lt;25,"Under 25",IF(Data[[#This Row],[Age]]&lt;35,"25–34",IF(Data[[#This Row],[Age]]&lt;45,"35–44",IF(Data[[#This Row],[Age]]&lt;55,"45–54","55+"))))</f>
        <v>25–34</v>
      </c>
      <c r="H827" t="s">
        <v>59</v>
      </c>
      <c r="I827" t="s">
        <v>18</v>
      </c>
      <c r="J827" t="s">
        <v>37</v>
      </c>
      <c r="K827" s="1">
        <v>41095</v>
      </c>
      <c r="M827" s="1" t="str">
        <f>IF(ISBLANK(Data[[#This Row],[EndDate]]),"Active","InActive")</f>
        <v>Active</v>
      </c>
      <c r="N827" t="s">
        <v>20</v>
      </c>
      <c r="O827" t="s">
        <v>54</v>
      </c>
      <c r="P827" t="s">
        <v>40</v>
      </c>
      <c r="Q827" s="2">
        <v>11893.5</v>
      </c>
    </row>
    <row r="828" spans="1:17" x14ac:dyDescent="0.2">
      <c r="A828" s="1">
        <v>43435</v>
      </c>
      <c r="B828">
        <v>52934</v>
      </c>
      <c r="C828" t="s">
        <v>80</v>
      </c>
      <c r="D828" t="s">
        <v>41</v>
      </c>
      <c r="E828" t="s">
        <v>62</v>
      </c>
      <c r="F828" s="5">
        <v>27</v>
      </c>
      <c r="G828" t="str">
        <f>IF(Data[[#This Row],[Age]]&lt;25,"Under 25",IF(Data[[#This Row],[Age]]&lt;35,"25–34",IF(Data[[#This Row],[Age]]&lt;45,"35–44",IF(Data[[#This Row],[Age]]&lt;55,"45–54","55+"))))</f>
        <v>25–34</v>
      </c>
      <c r="H828" t="s">
        <v>46</v>
      </c>
      <c r="I828" t="s">
        <v>18</v>
      </c>
      <c r="J828" t="s">
        <v>37</v>
      </c>
      <c r="K828" s="1">
        <v>39186</v>
      </c>
      <c r="M828" s="1" t="str">
        <f>IF(ISBLANK(Data[[#This Row],[EndDate]]),"Active","InActive")</f>
        <v>Active</v>
      </c>
      <c r="N828" t="s">
        <v>20</v>
      </c>
      <c r="O828" t="s">
        <v>54</v>
      </c>
      <c r="P828" t="s">
        <v>40</v>
      </c>
      <c r="Q828" s="2">
        <v>5656.5</v>
      </c>
    </row>
    <row r="829" spans="1:17" x14ac:dyDescent="0.2">
      <c r="A829" s="1">
        <v>43070</v>
      </c>
      <c r="B829">
        <v>18152</v>
      </c>
      <c r="C829" t="s">
        <v>80</v>
      </c>
      <c r="D829" t="s">
        <v>27</v>
      </c>
      <c r="E829" t="s">
        <v>72</v>
      </c>
      <c r="F829" s="5">
        <v>27</v>
      </c>
      <c r="G829" t="str">
        <f>IF(Data[[#This Row],[Age]]&lt;25,"Under 25",IF(Data[[#This Row],[Age]]&lt;35,"25–34",IF(Data[[#This Row],[Age]]&lt;45,"35–44",IF(Data[[#This Row],[Age]]&lt;55,"45–54","55+"))))</f>
        <v>25–34</v>
      </c>
      <c r="H829" t="s">
        <v>49</v>
      </c>
      <c r="I829" t="s">
        <v>18</v>
      </c>
      <c r="J829" t="s">
        <v>37</v>
      </c>
      <c r="K829" s="1">
        <v>41559</v>
      </c>
      <c r="M829" s="1" t="str">
        <f>IF(ISBLANK(Data[[#This Row],[EndDate]]),"Active","InActive")</f>
        <v>Active</v>
      </c>
      <c r="N829" t="s">
        <v>20</v>
      </c>
      <c r="O829" t="s">
        <v>54</v>
      </c>
      <c r="P829" t="s">
        <v>32</v>
      </c>
      <c r="Q829" s="2">
        <v>12541.5</v>
      </c>
    </row>
    <row r="830" spans="1:17" x14ac:dyDescent="0.2">
      <c r="A830" s="1">
        <v>42705</v>
      </c>
      <c r="B830">
        <v>102418</v>
      </c>
      <c r="C830" t="s">
        <v>80</v>
      </c>
      <c r="D830" t="s">
        <v>52</v>
      </c>
      <c r="E830" t="s">
        <v>53</v>
      </c>
      <c r="F830" s="5">
        <v>28</v>
      </c>
      <c r="G830" t="str">
        <f>IF(Data[[#This Row],[Age]]&lt;25,"Under 25",IF(Data[[#This Row],[Age]]&lt;35,"25–34",IF(Data[[#This Row],[Age]]&lt;45,"35–44",IF(Data[[#This Row],[Age]]&lt;55,"45–54","55+"))))</f>
        <v>25–34</v>
      </c>
      <c r="H830" t="s">
        <v>46</v>
      </c>
      <c r="I830" t="s">
        <v>18</v>
      </c>
      <c r="J830" t="s">
        <v>37</v>
      </c>
      <c r="K830" s="1">
        <v>41271</v>
      </c>
      <c r="M830" s="1" t="str">
        <f>IF(ISBLANK(Data[[#This Row],[EndDate]]),"Active","InActive")</f>
        <v>Active</v>
      </c>
      <c r="N830" t="s">
        <v>20</v>
      </c>
      <c r="O830" t="s">
        <v>54</v>
      </c>
      <c r="P830" t="s">
        <v>22</v>
      </c>
      <c r="Q830" s="2">
        <v>12376</v>
      </c>
    </row>
    <row r="831" spans="1:17" x14ac:dyDescent="0.2">
      <c r="A831" s="1">
        <v>43070</v>
      </c>
      <c r="B831">
        <v>53744</v>
      </c>
      <c r="C831" t="s">
        <v>79</v>
      </c>
      <c r="D831" t="s">
        <v>50</v>
      </c>
      <c r="E831" t="s">
        <v>55</v>
      </c>
      <c r="F831" s="5">
        <v>28</v>
      </c>
      <c r="G831" t="str">
        <f>IF(Data[[#This Row],[Age]]&lt;25,"Under 25",IF(Data[[#This Row],[Age]]&lt;35,"25–34",IF(Data[[#This Row],[Age]]&lt;45,"35–44",IF(Data[[#This Row],[Age]]&lt;55,"45–54","55+"))))</f>
        <v>25–34</v>
      </c>
      <c r="H831" t="s">
        <v>34</v>
      </c>
      <c r="I831" t="s">
        <v>56</v>
      </c>
      <c r="J831" t="s">
        <v>35</v>
      </c>
      <c r="K831" s="1">
        <v>41618</v>
      </c>
      <c r="M831" s="1" t="str">
        <f>IF(ISBLANK(Data[[#This Row],[EndDate]]),"Active","InActive")</f>
        <v>Active</v>
      </c>
      <c r="N831" t="s">
        <v>57</v>
      </c>
      <c r="O831" t="s">
        <v>54</v>
      </c>
      <c r="P831" t="s">
        <v>32</v>
      </c>
      <c r="Q831" s="2">
        <v>4438</v>
      </c>
    </row>
    <row r="832" spans="1:17" x14ac:dyDescent="0.2">
      <c r="A832" s="1">
        <v>42705</v>
      </c>
      <c r="B832">
        <v>91744</v>
      </c>
      <c r="C832" t="s">
        <v>79</v>
      </c>
      <c r="D832" t="s">
        <v>38</v>
      </c>
      <c r="E832" t="s">
        <v>39</v>
      </c>
      <c r="F832" s="5">
        <v>28</v>
      </c>
      <c r="G832" t="str">
        <f>IF(Data[[#This Row],[Age]]&lt;25,"Under 25",IF(Data[[#This Row],[Age]]&lt;35,"25–34",IF(Data[[#This Row],[Age]]&lt;45,"35–44",IF(Data[[#This Row],[Age]]&lt;55,"45–54","55+"))))</f>
        <v>25–34</v>
      </c>
      <c r="H832" t="s">
        <v>25</v>
      </c>
      <c r="I832" t="s">
        <v>56</v>
      </c>
      <c r="J832" t="s">
        <v>37</v>
      </c>
      <c r="K832" s="1">
        <v>39070</v>
      </c>
      <c r="M832" s="1" t="str">
        <f>IF(ISBLANK(Data[[#This Row],[EndDate]]),"Active","InActive")</f>
        <v>Active</v>
      </c>
      <c r="N832" t="s">
        <v>57</v>
      </c>
      <c r="O832" t="s">
        <v>54</v>
      </c>
      <c r="P832" t="s">
        <v>22</v>
      </c>
      <c r="Q832" s="2">
        <v>7756</v>
      </c>
    </row>
    <row r="833" spans="1:17" x14ac:dyDescent="0.2">
      <c r="A833" s="1">
        <v>42705</v>
      </c>
      <c r="B833">
        <v>92282</v>
      </c>
      <c r="C833" t="s">
        <v>79</v>
      </c>
      <c r="D833" t="s">
        <v>41</v>
      </c>
      <c r="E833" t="s">
        <v>62</v>
      </c>
      <c r="F833" s="5">
        <v>28</v>
      </c>
      <c r="G833" t="str">
        <f>IF(Data[[#This Row],[Age]]&lt;25,"Under 25",IF(Data[[#This Row],[Age]]&lt;35,"25–34",IF(Data[[#This Row],[Age]]&lt;45,"35–44",IF(Data[[#This Row],[Age]]&lt;55,"45–54","55+"))))</f>
        <v>25–34</v>
      </c>
      <c r="H833" t="s">
        <v>34</v>
      </c>
      <c r="I833" t="s">
        <v>56</v>
      </c>
      <c r="J833" t="s">
        <v>19</v>
      </c>
      <c r="K833" s="1">
        <v>40148</v>
      </c>
      <c r="M833" s="1" t="str">
        <f>IF(ISBLANK(Data[[#This Row],[EndDate]]),"Active","InActive")</f>
        <v>Active</v>
      </c>
      <c r="N833" t="s">
        <v>57</v>
      </c>
      <c r="O833" t="s">
        <v>54</v>
      </c>
      <c r="P833" t="s">
        <v>22</v>
      </c>
      <c r="Q833" s="2">
        <v>12180</v>
      </c>
    </row>
    <row r="834" spans="1:17" x14ac:dyDescent="0.2">
      <c r="A834" s="1">
        <v>42705</v>
      </c>
      <c r="B834">
        <v>92340</v>
      </c>
      <c r="C834" t="s">
        <v>79</v>
      </c>
      <c r="D834" t="s">
        <v>47</v>
      </c>
      <c r="E834" t="s">
        <v>48</v>
      </c>
      <c r="F834" s="5">
        <v>28</v>
      </c>
      <c r="G834" t="str">
        <f>IF(Data[[#This Row],[Age]]&lt;25,"Under 25",IF(Data[[#This Row],[Age]]&lt;35,"25–34",IF(Data[[#This Row],[Age]]&lt;45,"35–44",IF(Data[[#This Row],[Age]]&lt;55,"45–54","55+"))))</f>
        <v>25–34</v>
      </c>
      <c r="H834" t="s">
        <v>46</v>
      </c>
      <c r="I834" t="s">
        <v>56</v>
      </c>
      <c r="J834" t="s">
        <v>19</v>
      </c>
      <c r="K834" s="1">
        <v>40085</v>
      </c>
      <c r="M834" s="1" t="str">
        <f>IF(ISBLANK(Data[[#This Row],[EndDate]]),"Active","InActive")</f>
        <v>Active</v>
      </c>
      <c r="N834" t="s">
        <v>57</v>
      </c>
      <c r="O834" t="s">
        <v>54</v>
      </c>
      <c r="P834" t="s">
        <v>22</v>
      </c>
      <c r="Q834" s="2">
        <v>1526</v>
      </c>
    </row>
    <row r="835" spans="1:17" x14ac:dyDescent="0.2">
      <c r="A835" s="1">
        <v>42705</v>
      </c>
      <c r="B835">
        <v>95730</v>
      </c>
      <c r="C835" t="s">
        <v>79</v>
      </c>
      <c r="D835" t="s">
        <v>41</v>
      </c>
      <c r="E835" t="s">
        <v>68</v>
      </c>
      <c r="F835" s="5">
        <v>28</v>
      </c>
      <c r="G835" t="str">
        <f>IF(Data[[#This Row],[Age]]&lt;25,"Under 25",IF(Data[[#This Row],[Age]]&lt;35,"25–34",IF(Data[[#This Row],[Age]]&lt;45,"35–44",IF(Data[[#This Row],[Age]]&lt;55,"45–54","55+"))))</f>
        <v>25–34</v>
      </c>
      <c r="H835" t="s">
        <v>31</v>
      </c>
      <c r="I835" t="s">
        <v>56</v>
      </c>
      <c r="J835" t="s">
        <v>19</v>
      </c>
      <c r="K835" s="1">
        <v>39623</v>
      </c>
      <c r="M835" s="1" t="str">
        <f>IF(ISBLANK(Data[[#This Row],[EndDate]]),"Active","InActive")</f>
        <v>Active</v>
      </c>
      <c r="N835" t="s">
        <v>57</v>
      </c>
      <c r="O835" t="s">
        <v>54</v>
      </c>
      <c r="P835" t="s">
        <v>22</v>
      </c>
      <c r="Q835" s="2">
        <v>12166</v>
      </c>
    </row>
    <row r="836" spans="1:17" x14ac:dyDescent="0.2">
      <c r="A836" s="1">
        <v>43070</v>
      </c>
      <c r="B836">
        <v>95716</v>
      </c>
      <c r="C836" t="s">
        <v>80</v>
      </c>
      <c r="D836" t="s">
        <v>41</v>
      </c>
      <c r="E836" t="s">
        <v>68</v>
      </c>
      <c r="F836" s="5">
        <v>28</v>
      </c>
      <c r="G836" t="str">
        <f>IF(Data[[#This Row],[Age]]&lt;25,"Under 25",IF(Data[[#This Row],[Age]]&lt;35,"25–34",IF(Data[[#This Row],[Age]]&lt;45,"35–44",IF(Data[[#This Row],[Age]]&lt;55,"45–54","55+"))))</f>
        <v>25–34</v>
      </c>
      <c r="H836" t="s">
        <v>25</v>
      </c>
      <c r="I836" t="s">
        <v>56</v>
      </c>
      <c r="J836" t="s">
        <v>19</v>
      </c>
      <c r="K836" s="1">
        <v>41478</v>
      </c>
      <c r="M836" s="1" t="str">
        <f>IF(ISBLANK(Data[[#This Row],[EndDate]]),"Active","InActive")</f>
        <v>Active</v>
      </c>
      <c r="N836" t="s">
        <v>57</v>
      </c>
      <c r="O836" t="s">
        <v>54</v>
      </c>
      <c r="P836" t="s">
        <v>32</v>
      </c>
      <c r="Q836" s="2">
        <v>5390</v>
      </c>
    </row>
    <row r="837" spans="1:17" x14ac:dyDescent="0.2">
      <c r="A837" s="1">
        <v>43435</v>
      </c>
      <c r="B837">
        <v>54506</v>
      </c>
      <c r="C837" t="s">
        <v>80</v>
      </c>
      <c r="D837" t="s">
        <v>27</v>
      </c>
      <c r="E837" t="s">
        <v>28</v>
      </c>
      <c r="F837" s="5">
        <v>28</v>
      </c>
      <c r="G837" t="str">
        <f>IF(Data[[#This Row],[Age]]&lt;25,"Under 25",IF(Data[[#This Row],[Age]]&lt;35,"25–34",IF(Data[[#This Row],[Age]]&lt;45,"35–44",IF(Data[[#This Row],[Age]]&lt;55,"45–54","55+"))))</f>
        <v>25–34</v>
      </c>
      <c r="H837" t="s">
        <v>31</v>
      </c>
      <c r="I837" t="s">
        <v>56</v>
      </c>
      <c r="J837" t="s">
        <v>19</v>
      </c>
      <c r="K837" s="1">
        <v>41611</v>
      </c>
      <c r="M837" s="1" t="str">
        <f>IF(ISBLANK(Data[[#This Row],[EndDate]]),"Active","InActive")</f>
        <v>Active</v>
      </c>
      <c r="N837" t="s">
        <v>57</v>
      </c>
      <c r="O837" t="s">
        <v>54</v>
      </c>
      <c r="P837" t="s">
        <v>40</v>
      </c>
      <c r="Q837" s="2">
        <v>5530</v>
      </c>
    </row>
    <row r="838" spans="1:17" x14ac:dyDescent="0.2">
      <c r="A838" s="1">
        <v>43435</v>
      </c>
      <c r="B838">
        <v>92324</v>
      </c>
      <c r="C838" t="s">
        <v>79</v>
      </c>
      <c r="D838" t="s">
        <v>15</v>
      </c>
      <c r="E838" t="s">
        <v>58</v>
      </c>
      <c r="F838" s="5">
        <v>28</v>
      </c>
      <c r="G838" t="str">
        <f>IF(Data[[#This Row],[Age]]&lt;25,"Under 25",IF(Data[[#This Row],[Age]]&lt;35,"25–34",IF(Data[[#This Row],[Age]]&lt;45,"35–44",IF(Data[[#This Row],[Age]]&lt;55,"45–54","55+"))))</f>
        <v>25–34</v>
      </c>
      <c r="H838" t="s">
        <v>25</v>
      </c>
      <c r="I838" t="s">
        <v>56</v>
      </c>
      <c r="J838" t="s">
        <v>19</v>
      </c>
      <c r="K838" s="1">
        <v>38505</v>
      </c>
      <c r="M838" s="1" t="str">
        <f>IF(ISBLANK(Data[[#This Row],[EndDate]]),"Active","InActive")</f>
        <v>Active</v>
      </c>
      <c r="N838" t="s">
        <v>57</v>
      </c>
      <c r="O838" t="s">
        <v>54</v>
      </c>
      <c r="P838" t="s">
        <v>40</v>
      </c>
      <c r="Q838" s="2">
        <v>3150</v>
      </c>
    </row>
    <row r="839" spans="1:17" x14ac:dyDescent="0.2">
      <c r="A839" s="1">
        <v>43435</v>
      </c>
      <c r="B839">
        <v>92460</v>
      </c>
      <c r="C839" t="s">
        <v>79</v>
      </c>
      <c r="D839" t="s">
        <v>52</v>
      </c>
      <c r="E839" t="s">
        <v>69</v>
      </c>
      <c r="F839" s="5">
        <v>28</v>
      </c>
      <c r="G839" t="str">
        <f>IF(Data[[#This Row],[Age]]&lt;25,"Under 25",IF(Data[[#This Row],[Age]]&lt;35,"25–34",IF(Data[[#This Row],[Age]]&lt;45,"35–44",IF(Data[[#This Row],[Age]]&lt;55,"45–54","55+"))))</f>
        <v>25–34</v>
      </c>
      <c r="H839" t="s">
        <v>46</v>
      </c>
      <c r="I839" t="s">
        <v>56</v>
      </c>
      <c r="J839" t="s">
        <v>19</v>
      </c>
      <c r="K839" s="1">
        <v>41939</v>
      </c>
      <c r="M839" s="1" t="str">
        <f>IF(ISBLANK(Data[[#This Row],[EndDate]]),"Active","InActive")</f>
        <v>Active</v>
      </c>
      <c r="N839" t="s">
        <v>57</v>
      </c>
      <c r="O839" t="s">
        <v>54</v>
      </c>
      <c r="P839" t="s">
        <v>40</v>
      </c>
      <c r="Q839" s="2">
        <v>9828</v>
      </c>
    </row>
    <row r="840" spans="1:17" x14ac:dyDescent="0.2">
      <c r="A840" s="1">
        <v>42705</v>
      </c>
      <c r="B840">
        <v>21208</v>
      </c>
      <c r="C840" t="s">
        <v>80</v>
      </c>
      <c r="D840" t="s">
        <v>38</v>
      </c>
      <c r="E840" t="s">
        <v>39</v>
      </c>
      <c r="F840" s="5">
        <v>28</v>
      </c>
      <c r="G840" t="str">
        <f>IF(Data[[#This Row],[Age]]&lt;25,"Under 25",IF(Data[[#This Row],[Age]]&lt;35,"25–34",IF(Data[[#This Row],[Age]]&lt;45,"35–44",IF(Data[[#This Row],[Age]]&lt;55,"45–54","55+"))))</f>
        <v>25–34</v>
      </c>
      <c r="H840" t="s">
        <v>49</v>
      </c>
      <c r="I840" t="s">
        <v>56</v>
      </c>
      <c r="J840" t="s">
        <v>37</v>
      </c>
      <c r="K840" s="1">
        <v>36720</v>
      </c>
      <c r="M840" s="1" t="str">
        <f>IF(ISBLANK(Data[[#This Row],[EndDate]]),"Active","InActive")</f>
        <v>Active</v>
      </c>
      <c r="N840" t="s">
        <v>57</v>
      </c>
      <c r="O840" t="s">
        <v>54</v>
      </c>
      <c r="P840" t="s">
        <v>22</v>
      </c>
      <c r="Q840" s="2">
        <v>3794</v>
      </c>
    </row>
    <row r="841" spans="1:17" x14ac:dyDescent="0.2">
      <c r="A841" s="1">
        <v>42705</v>
      </c>
      <c r="B841">
        <v>50322</v>
      </c>
      <c r="C841" t="s">
        <v>79</v>
      </c>
      <c r="D841" t="s">
        <v>29</v>
      </c>
      <c r="E841" t="s">
        <v>33</v>
      </c>
      <c r="F841" s="5">
        <v>28</v>
      </c>
      <c r="G841" t="str">
        <f>IF(Data[[#This Row],[Age]]&lt;25,"Under 25",IF(Data[[#This Row],[Age]]&lt;35,"25–34",IF(Data[[#This Row],[Age]]&lt;45,"35–44",IF(Data[[#This Row],[Age]]&lt;55,"45–54","55+"))))</f>
        <v>25–34</v>
      </c>
      <c r="H841" t="s">
        <v>17</v>
      </c>
      <c r="I841" t="s">
        <v>56</v>
      </c>
      <c r="J841" t="s">
        <v>26</v>
      </c>
      <c r="K841" s="1">
        <v>39417</v>
      </c>
      <c r="M841" s="1" t="str">
        <f>IF(ISBLANK(Data[[#This Row],[EndDate]]),"Active","InActive")</f>
        <v>Active</v>
      </c>
      <c r="N841" t="s">
        <v>57</v>
      </c>
      <c r="O841" t="s">
        <v>54</v>
      </c>
      <c r="P841" t="s">
        <v>22</v>
      </c>
      <c r="Q841" s="2">
        <v>6272</v>
      </c>
    </row>
    <row r="842" spans="1:17" x14ac:dyDescent="0.2">
      <c r="A842" s="1">
        <v>42705</v>
      </c>
      <c r="B842">
        <v>50336</v>
      </c>
      <c r="C842" t="s">
        <v>79</v>
      </c>
      <c r="D842" t="s">
        <v>38</v>
      </c>
      <c r="E842" t="s">
        <v>45</v>
      </c>
      <c r="F842" s="5">
        <v>28</v>
      </c>
      <c r="G842" t="str">
        <f>IF(Data[[#This Row],[Age]]&lt;25,"Under 25",IF(Data[[#This Row],[Age]]&lt;35,"25–34",IF(Data[[#This Row],[Age]]&lt;45,"35–44",IF(Data[[#This Row],[Age]]&lt;55,"45–54","55+"))))</f>
        <v>25–34</v>
      </c>
      <c r="H842" t="s">
        <v>49</v>
      </c>
      <c r="I842" t="s">
        <v>56</v>
      </c>
      <c r="J842" t="s">
        <v>26</v>
      </c>
      <c r="K842" s="1">
        <v>38610</v>
      </c>
      <c r="M842" s="1" t="str">
        <f>IF(ISBLANK(Data[[#This Row],[EndDate]]),"Active","InActive")</f>
        <v>Active</v>
      </c>
      <c r="N842" t="s">
        <v>57</v>
      </c>
      <c r="O842" t="s">
        <v>54</v>
      </c>
      <c r="P842" t="s">
        <v>22</v>
      </c>
      <c r="Q842" s="2">
        <v>13216</v>
      </c>
    </row>
    <row r="843" spans="1:17" x14ac:dyDescent="0.2">
      <c r="A843" s="1">
        <v>42705</v>
      </c>
      <c r="B843">
        <v>92240</v>
      </c>
      <c r="C843" t="s">
        <v>80</v>
      </c>
      <c r="D843" t="s">
        <v>41</v>
      </c>
      <c r="E843" t="s">
        <v>62</v>
      </c>
      <c r="F843" s="5">
        <v>28</v>
      </c>
      <c r="G843" t="str">
        <f>IF(Data[[#This Row],[Age]]&lt;25,"Under 25",IF(Data[[#This Row],[Age]]&lt;35,"25–34",IF(Data[[#This Row],[Age]]&lt;45,"35–44",IF(Data[[#This Row],[Age]]&lt;55,"45–54","55+"))))</f>
        <v>25–34</v>
      </c>
      <c r="H843" t="s">
        <v>31</v>
      </c>
      <c r="I843" t="s">
        <v>18</v>
      </c>
      <c r="J843" t="s">
        <v>19</v>
      </c>
      <c r="K843" s="1">
        <v>39575</v>
      </c>
      <c r="M843" s="1" t="str">
        <f>IF(ISBLANK(Data[[#This Row],[EndDate]]),"Active","InActive")</f>
        <v>Active</v>
      </c>
      <c r="N843" t="s">
        <v>20</v>
      </c>
      <c r="O843" t="s">
        <v>54</v>
      </c>
      <c r="P843" t="s">
        <v>22</v>
      </c>
      <c r="Q843" s="2">
        <v>11606</v>
      </c>
    </row>
    <row r="844" spans="1:17" x14ac:dyDescent="0.2">
      <c r="A844" s="1">
        <v>42705</v>
      </c>
      <c r="B844">
        <v>104704</v>
      </c>
      <c r="C844" t="s">
        <v>79</v>
      </c>
      <c r="D844" t="s">
        <v>43</v>
      </c>
      <c r="E844" t="s">
        <v>44</v>
      </c>
      <c r="F844" s="5">
        <v>28</v>
      </c>
      <c r="G844" t="str">
        <f>IF(Data[[#This Row],[Age]]&lt;25,"Under 25",IF(Data[[#This Row],[Age]]&lt;35,"25–34",IF(Data[[#This Row],[Age]]&lt;45,"35–44",IF(Data[[#This Row],[Age]]&lt;55,"45–54","55+"))))</f>
        <v>25–34</v>
      </c>
      <c r="H844" t="s">
        <v>17</v>
      </c>
      <c r="I844" t="s">
        <v>56</v>
      </c>
      <c r="J844" t="s">
        <v>35</v>
      </c>
      <c r="K844" s="1">
        <v>39344</v>
      </c>
      <c r="M844" s="1" t="str">
        <f>IF(ISBLANK(Data[[#This Row],[EndDate]]),"Active","InActive")</f>
        <v>Active</v>
      </c>
      <c r="N844" t="s">
        <v>57</v>
      </c>
      <c r="O844" t="s">
        <v>54</v>
      </c>
      <c r="P844" t="s">
        <v>22</v>
      </c>
      <c r="Q844" s="2">
        <v>10738</v>
      </c>
    </row>
    <row r="845" spans="1:17" x14ac:dyDescent="0.2">
      <c r="A845" s="1">
        <v>43070</v>
      </c>
      <c r="B845">
        <v>53876</v>
      </c>
      <c r="C845" t="s">
        <v>79</v>
      </c>
      <c r="D845" t="s">
        <v>29</v>
      </c>
      <c r="E845" t="s">
        <v>33</v>
      </c>
      <c r="F845" s="5">
        <v>28</v>
      </c>
      <c r="G845" t="str">
        <f>IF(Data[[#This Row],[Age]]&lt;25,"Under 25",IF(Data[[#This Row],[Age]]&lt;35,"25–34",IF(Data[[#This Row],[Age]]&lt;45,"35–44",IF(Data[[#This Row],[Age]]&lt;55,"45–54","55+"))))</f>
        <v>25–34</v>
      </c>
      <c r="H845" t="s">
        <v>34</v>
      </c>
      <c r="I845" t="s">
        <v>56</v>
      </c>
      <c r="J845" t="s">
        <v>26</v>
      </c>
      <c r="K845" s="1">
        <v>41508</v>
      </c>
      <c r="M845" s="1" t="str">
        <f>IF(ISBLANK(Data[[#This Row],[EndDate]]),"Active","InActive")</f>
        <v>Active</v>
      </c>
      <c r="N845" t="s">
        <v>57</v>
      </c>
      <c r="O845" t="s">
        <v>54</v>
      </c>
      <c r="P845" t="s">
        <v>32</v>
      </c>
      <c r="Q845" s="2">
        <v>13286</v>
      </c>
    </row>
    <row r="846" spans="1:17" x14ac:dyDescent="0.2">
      <c r="A846" s="1">
        <v>43435</v>
      </c>
      <c r="B846">
        <v>41714</v>
      </c>
      <c r="C846" t="s">
        <v>80</v>
      </c>
      <c r="D846" t="s">
        <v>15</v>
      </c>
      <c r="E846" t="s">
        <v>70</v>
      </c>
      <c r="F846" s="5">
        <v>28</v>
      </c>
      <c r="G846" t="str">
        <f>IF(Data[[#This Row],[Age]]&lt;25,"Under 25",IF(Data[[#This Row],[Age]]&lt;35,"25–34",IF(Data[[#This Row],[Age]]&lt;45,"35–44",IF(Data[[#This Row],[Age]]&lt;55,"45–54","55+"))))</f>
        <v>25–34</v>
      </c>
      <c r="H846" t="s">
        <v>17</v>
      </c>
      <c r="I846" t="s">
        <v>18</v>
      </c>
      <c r="J846" t="s">
        <v>35</v>
      </c>
      <c r="K846" s="1">
        <v>41738</v>
      </c>
      <c r="M846" s="1" t="str">
        <f>IF(ISBLANK(Data[[#This Row],[EndDate]]),"Active","InActive")</f>
        <v>Active</v>
      </c>
      <c r="N846" t="s">
        <v>20</v>
      </c>
      <c r="O846" t="s">
        <v>54</v>
      </c>
      <c r="P846" t="s">
        <v>40</v>
      </c>
      <c r="Q846" s="2">
        <v>9814</v>
      </c>
    </row>
    <row r="847" spans="1:17" x14ac:dyDescent="0.2">
      <c r="A847" s="1">
        <v>43435</v>
      </c>
      <c r="B847">
        <v>42462</v>
      </c>
      <c r="C847" t="s">
        <v>79</v>
      </c>
      <c r="D847" t="s">
        <v>38</v>
      </c>
      <c r="E847" t="s">
        <v>39</v>
      </c>
      <c r="F847" s="5">
        <v>28</v>
      </c>
      <c r="G847" t="str">
        <f>IF(Data[[#This Row],[Age]]&lt;25,"Under 25",IF(Data[[#This Row],[Age]]&lt;35,"25–34",IF(Data[[#This Row],[Age]]&lt;45,"35–44",IF(Data[[#This Row],[Age]]&lt;55,"45–54","55+"))))</f>
        <v>25–34</v>
      </c>
      <c r="H847" t="s">
        <v>34</v>
      </c>
      <c r="I847" t="s">
        <v>56</v>
      </c>
      <c r="J847" t="s">
        <v>35</v>
      </c>
      <c r="K847" s="1">
        <v>41783</v>
      </c>
      <c r="M847" s="1" t="str">
        <f>IF(ISBLANK(Data[[#This Row],[EndDate]]),"Active","InActive")</f>
        <v>Active</v>
      </c>
      <c r="N847" t="s">
        <v>57</v>
      </c>
      <c r="O847" t="s">
        <v>54</v>
      </c>
      <c r="P847" t="s">
        <v>40</v>
      </c>
      <c r="Q847" s="2">
        <v>9464</v>
      </c>
    </row>
    <row r="848" spans="1:17" x14ac:dyDescent="0.2">
      <c r="A848" s="1">
        <v>43435</v>
      </c>
      <c r="B848">
        <v>50370</v>
      </c>
      <c r="C848" t="s">
        <v>79</v>
      </c>
      <c r="D848" t="s">
        <v>38</v>
      </c>
      <c r="E848" t="s">
        <v>45</v>
      </c>
      <c r="F848" s="5">
        <v>28</v>
      </c>
      <c r="G848" t="str">
        <f>IF(Data[[#This Row],[Age]]&lt;25,"Under 25",IF(Data[[#This Row],[Age]]&lt;35,"25–34",IF(Data[[#This Row],[Age]]&lt;45,"35–44",IF(Data[[#This Row],[Age]]&lt;55,"45–54","55+"))))</f>
        <v>25–34</v>
      </c>
      <c r="H848" t="s">
        <v>59</v>
      </c>
      <c r="I848" t="s">
        <v>56</v>
      </c>
      <c r="J848" t="s">
        <v>26</v>
      </c>
      <c r="K848" s="1">
        <v>41788</v>
      </c>
      <c r="M848" s="1" t="str">
        <f>IF(ISBLANK(Data[[#This Row],[EndDate]]),"Active","InActive")</f>
        <v>Active</v>
      </c>
      <c r="N848" t="s">
        <v>57</v>
      </c>
      <c r="O848" t="s">
        <v>54</v>
      </c>
      <c r="P848" t="s">
        <v>40</v>
      </c>
      <c r="Q848" s="2">
        <v>13342</v>
      </c>
    </row>
    <row r="849" spans="1:17" x14ac:dyDescent="0.2">
      <c r="A849" s="1">
        <v>43435</v>
      </c>
      <c r="B849">
        <v>51230</v>
      </c>
      <c r="C849" t="s">
        <v>80</v>
      </c>
      <c r="D849" t="s">
        <v>23</v>
      </c>
      <c r="E849" t="s">
        <v>65</v>
      </c>
      <c r="F849" s="5">
        <v>28</v>
      </c>
      <c r="G849" t="str">
        <f>IF(Data[[#This Row],[Age]]&lt;25,"Under 25",IF(Data[[#This Row],[Age]]&lt;35,"25–34",IF(Data[[#This Row],[Age]]&lt;45,"35–44",IF(Data[[#This Row],[Age]]&lt;55,"45–54","55+"))))</f>
        <v>25–34</v>
      </c>
      <c r="H849" t="s">
        <v>34</v>
      </c>
      <c r="I849" t="s">
        <v>18</v>
      </c>
      <c r="J849" t="s">
        <v>35</v>
      </c>
      <c r="K849" s="1">
        <v>41793</v>
      </c>
      <c r="M849" s="1" t="str">
        <f>IF(ISBLANK(Data[[#This Row],[EndDate]]),"Active","InActive")</f>
        <v>Active</v>
      </c>
      <c r="N849" t="s">
        <v>20</v>
      </c>
      <c r="O849" t="s">
        <v>54</v>
      </c>
      <c r="P849" t="s">
        <v>40</v>
      </c>
      <c r="Q849" s="2">
        <v>13006</v>
      </c>
    </row>
    <row r="850" spans="1:17" x14ac:dyDescent="0.2">
      <c r="A850" s="1">
        <v>43435</v>
      </c>
      <c r="B850">
        <v>51312</v>
      </c>
      <c r="C850" t="s">
        <v>80</v>
      </c>
      <c r="D850" t="s">
        <v>15</v>
      </c>
      <c r="E850" t="s">
        <v>16</v>
      </c>
      <c r="F850" s="5">
        <v>28</v>
      </c>
      <c r="G850" t="str">
        <f>IF(Data[[#This Row],[Age]]&lt;25,"Under 25",IF(Data[[#This Row],[Age]]&lt;35,"25–34",IF(Data[[#This Row],[Age]]&lt;45,"35–44",IF(Data[[#This Row],[Age]]&lt;55,"45–54","55+"))))</f>
        <v>25–34</v>
      </c>
      <c r="H850" t="s">
        <v>31</v>
      </c>
      <c r="I850" t="s">
        <v>56</v>
      </c>
      <c r="J850" t="s">
        <v>37</v>
      </c>
      <c r="K850" s="1">
        <v>38252</v>
      </c>
      <c r="L850" s="1">
        <v>38372</v>
      </c>
      <c r="M850" s="1" t="str">
        <f>IF(ISBLANK(Data[[#This Row],[EndDate]]),"Active","InActive")</f>
        <v>InActive</v>
      </c>
      <c r="N850" t="s">
        <v>57</v>
      </c>
      <c r="O850" t="s">
        <v>54</v>
      </c>
      <c r="P850" t="s">
        <v>40</v>
      </c>
      <c r="Q850" s="2">
        <v>3486</v>
      </c>
    </row>
    <row r="851" spans="1:17" x14ac:dyDescent="0.2">
      <c r="A851" s="1">
        <v>42705</v>
      </c>
      <c r="B851">
        <v>55578</v>
      </c>
      <c r="C851" t="s">
        <v>80</v>
      </c>
      <c r="D851" t="s">
        <v>52</v>
      </c>
      <c r="E851" t="s">
        <v>67</v>
      </c>
      <c r="F851" s="5">
        <v>28</v>
      </c>
      <c r="G851" t="str">
        <f>IF(Data[[#This Row],[Age]]&lt;25,"Under 25",IF(Data[[#This Row],[Age]]&lt;35,"25–34",IF(Data[[#This Row],[Age]]&lt;45,"35–44",IF(Data[[#This Row],[Age]]&lt;55,"45–54","55+"))))</f>
        <v>25–34</v>
      </c>
      <c r="H851" t="s">
        <v>46</v>
      </c>
      <c r="I851" t="s">
        <v>18</v>
      </c>
      <c r="J851" t="s">
        <v>37</v>
      </c>
      <c r="K851" s="1">
        <v>41220</v>
      </c>
      <c r="M851" s="1" t="str">
        <f>IF(ISBLANK(Data[[#This Row],[EndDate]]),"Active","InActive")</f>
        <v>Active</v>
      </c>
      <c r="N851" t="s">
        <v>20</v>
      </c>
      <c r="O851" t="s">
        <v>54</v>
      </c>
      <c r="P851" t="s">
        <v>22</v>
      </c>
      <c r="Q851" s="2">
        <v>13272</v>
      </c>
    </row>
    <row r="852" spans="1:17" x14ac:dyDescent="0.2">
      <c r="A852" s="1">
        <v>43070</v>
      </c>
      <c r="B852">
        <v>17362</v>
      </c>
      <c r="C852" t="s">
        <v>79</v>
      </c>
      <c r="D852" t="s">
        <v>15</v>
      </c>
      <c r="E852" t="s">
        <v>58</v>
      </c>
      <c r="F852" s="5">
        <v>28</v>
      </c>
      <c r="G852" t="str">
        <f>IF(Data[[#This Row],[Age]]&lt;25,"Under 25",IF(Data[[#This Row],[Age]]&lt;35,"25–34",IF(Data[[#This Row],[Age]]&lt;45,"35–44",IF(Data[[#This Row],[Age]]&lt;55,"45–54","55+"))))</f>
        <v>25–34</v>
      </c>
      <c r="H852" t="s">
        <v>46</v>
      </c>
      <c r="I852" t="s">
        <v>56</v>
      </c>
      <c r="J852" t="s">
        <v>19</v>
      </c>
      <c r="K852" s="1">
        <v>40897</v>
      </c>
      <c r="M852" s="1" t="str">
        <f>IF(ISBLANK(Data[[#This Row],[EndDate]]),"Active","InActive")</f>
        <v>Active</v>
      </c>
      <c r="N852" t="s">
        <v>57</v>
      </c>
      <c r="O852" t="s">
        <v>54</v>
      </c>
      <c r="P852" t="s">
        <v>32</v>
      </c>
      <c r="Q852" s="2">
        <v>11200</v>
      </c>
    </row>
    <row r="853" spans="1:17" x14ac:dyDescent="0.2">
      <c r="A853" s="1">
        <v>43070</v>
      </c>
      <c r="B853">
        <v>20574</v>
      </c>
      <c r="C853" t="s">
        <v>80</v>
      </c>
      <c r="D853" t="s">
        <v>52</v>
      </c>
      <c r="E853" t="s">
        <v>53</v>
      </c>
      <c r="F853" s="5">
        <v>28</v>
      </c>
      <c r="G853" t="str">
        <f>IF(Data[[#This Row],[Age]]&lt;25,"Under 25",IF(Data[[#This Row],[Age]]&lt;35,"25–34",IF(Data[[#This Row],[Age]]&lt;45,"35–44",IF(Data[[#This Row],[Age]]&lt;55,"45–54","55+"))))</f>
        <v>25–34</v>
      </c>
      <c r="H853" t="s">
        <v>46</v>
      </c>
      <c r="I853" t="s">
        <v>18</v>
      </c>
      <c r="J853" t="s">
        <v>26</v>
      </c>
      <c r="K853" s="1">
        <v>41493</v>
      </c>
      <c r="M853" s="1" t="str">
        <f>IF(ISBLANK(Data[[#This Row],[EndDate]]),"Active","InActive")</f>
        <v>Active</v>
      </c>
      <c r="N853" t="s">
        <v>20</v>
      </c>
      <c r="O853" t="s">
        <v>54</v>
      </c>
      <c r="P853" t="s">
        <v>32</v>
      </c>
      <c r="Q853" s="2">
        <v>12782</v>
      </c>
    </row>
    <row r="854" spans="1:17" x14ac:dyDescent="0.2">
      <c r="A854" s="1">
        <v>43435</v>
      </c>
      <c r="B854">
        <v>42482</v>
      </c>
      <c r="C854" t="s">
        <v>80</v>
      </c>
      <c r="D854" t="s">
        <v>43</v>
      </c>
      <c r="E854" t="s">
        <v>44</v>
      </c>
      <c r="F854" s="5">
        <v>28</v>
      </c>
      <c r="G854" t="str">
        <f>IF(Data[[#This Row],[Age]]&lt;25,"Under 25",IF(Data[[#This Row],[Age]]&lt;35,"25–34",IF(Data[[#This Row],[Age]]&lt;45,"35–44",IF(Data[[#This Row],[Age]]&lt;55,"45–54","55+"))))</f>
        <v>25–34</v>
      </c>
      <c r="H854" t="s">
        <v>46</v>
      </c>
      <c r="I854" t="s">
        <v>18</v>
      </c>
      <c r="J854" t="s">
        <v>35</v>
      </c>
      <c r="K854" s="1">
        <v>41791</v>
      </c>
      <c r="M854" s="1" t="str">
        <f>IF(ISBLANK(Data[[#This Row],[EndDate]]),"Active","InActive")</f>
        <v>Active</v>
      </c>
      <c r="N854" t="s">
        <v>20</v>
      </c>
      <c r="O854" t="s">
        <v>54</v>
      </c>
      <c r="P854" t="s">
        <v>40</v>
      </c>
      <c r="Q854" s="2">
        <v>5852</v>
      </c>
    </row>
    <row r="855" spans="1:17" x14ac:dyDescent="0.2">
      <c r="A855" s="1">
        <v>43435</v>
      </c>
      <c r="B855">
        <v>53804</v>
      </c>
      <c r="C855" t="s">
        <v>79</v>
      </c>
      <c r="D855" t="s">
        <v>43</v>
      </c>
      <c r="E855" t="s">
        <v>44</v>
      </c>
      <c r="F855" s="5">
        <v>28</v>
      </c>
      <c r="G855" t="str">
        <f>IF(Data[[#This Row],[Age]]&lt;25,"Under 25",IF(Data[[#This Row],[Age]]&lt;35,"25–34",IF(Data[[#This Row],[Age]]&lt;45,"35–44",IF(Data[[#This Row],[Age]]&lt;55,"45–54","55+"))))</f>
        <v>25–34</v>
      </c>
      <c r="H855" t="s">
        <v>46</v>
      </c>
      <c r="I855" t="s">
        <v>56</v>
      </c>
      <c r="J855" t="s">
        <v>35</v>
      </c>
      <c r="K855" s="1">
        <v>38656</v>
      </c>
      <c r="M855" s="1" t="str">
        <f>IF(ISBLANK(Data[[#This Row],[EndDate]]),"Active","InActive")</f>
        <v>Active</v>
      </c>
      <c r="N855" t="s">
        <v>57</v>
      </c>
      <c r="O855" t="s">
        <v>54</v>
      </c>
      <c r="P855" t="s">
        <v>40</v>
      </c>
      <c r="Q855" s="2">
        <v>7364</v>
      </c>
    </row>
    <row r="856" spans="1:17" x14ac:dyDescent="0.2">
      <c r="A856" s="1">
        <v>43435</v>
      </c>
      <c r="B856">
        <v>96504</v>
      </c>
      <c r="C856" t="s">
        <v>79</v>
      </c>
      <c r="D856" t="s">
        <v>15</v>
      </c>
      <c r="E856" t="s">
        <v>70</v>
      </c>
      <c r="F856" s="5">
        <v>28</v>
      </c>
      <c r="G856" t="str">
        <f>IF(Data[[#This Row],[Age]]&lt;25,"Under 25",IF(Data[[#This Row],[Age]]&lt;35,"25–34",IF(Data[[#This Row],[Age]]&lt;45,"35–44",IF(Data[[#This Row],[Age]]&lt;55,"45–54","55+"))))</f>
        <v>25–34</v>
      </c>
      <c r="H856" t="s">
        <v>46</v>
      </c>
      <c r="I856" t="s">
        <v>56</v>
      </c>
      <c r="J856" t="s">
        <v>19</v>
      </c>
      <c r="K856" s="1">
        <v>41681</v>
      </c>
      <c r="M856" s="1" t="str">
        <f>IF(ISBLANK(Data[[#This Row],[EndDate]]),"Active","InActive")</f>
        <v>Active</v>
      </c>
      <c r="N856" t="s">
        <v>57</v>
      </c>
      <c r="O856" t="s">
        <v>54</v>
      </c>
      <c r="P856" t="s">
        <v>40</v>
      </c>
      <c r="Q856" s="2">
        <v>1876</v>
      </c>
    </row>
    <row r="857" spans="1:17" x14ac:dyDescent="0.2">
      <c r="A857" s="1">
        <v>42705</v>
      </c>
      <c r="B857">
        <v>49832</v>
      </c>
      <c r="C857" t="s">
        <v>79</v>
      </c>
      <c r="D857" t="s">
        <v>27</v>
      </c>
      <c r="E857" t="s">
        <v>28</v>
      </c>
      <c r="F857" s="5">
        <v>28</v>
      </c>
      <c r="G857" t="str">
        <f>IF(Data[[#This Row],[Age]]&lt;25,"Under 25",IF(Data[[#This Row],[Age]]&lt;35,"25–34",IF(Data[[#This Row],[Age]]&lt;45,"35–44",IF(Data[[#This Row],[Age]]&lt;55,"45–54","55+"))))</f>
        <v>25–34</v>
      </c>
      <c r="H857" t="s">
        <v>25</v>
      </c>
      <c r="I857" t="s">
        <v>56</v>
      </c>
      <c r="J857" t="s">
        <v>26</v>
      </c>
      <c r="K857" s="1">
        <v>38182</v>
      </c>
      <c r="M857" s="1" t="str">
        <f>IF(ISBLANK(Data[[#This Row],[EndDate]]),"Active","InActive")</f>
        <v>Active</v>
      </c>
      <c r="N857" t="s">
        <v>57</v>
      </c>
      <c r="O857" t="s">
        <v>54</v>
      </c>
      <c r="P857" t="s">
        <v>22</v>
      </c>
      <c r="Q857" s="2">
        <v>8554</v>
      </c>
    </row>
    <row r="858" spans="1:17" x14ac:dyDescent="0.2">
      <c r="A858" s="1">
        <v>43070</v>
      </c>
      <c r="B858">
        <v>29632</v>
      </c>
      <c r="C858" t="s">
        <v>80</v>
      </c>
      <c r="D858" t="s">
        <v>50</v>
      </c>
      <c r="E858" t="s">
        <v>55</v>
      </c>
      <c r="F858" s="5">
        <v>28</v>
      </c>
      <c r="G858" t="str">
        <f>IF(Data[[#This Row],[Age]]&lt;25,"Under 25",IF(Data[[#This Row],[Age]]&lt;35,"25–34",IF(Data[[#This Row],[Age]]&lt;45,"35–44",IF(Data[[#This Row],[Age]]&lt;55,"45–54","55+"))))</f>
        <v>25–34</v>
      </c>
      <c r="H858" t="s">
        <v>25</v>
      </c>
      <c r="I858" t="s">
        <v>18</v>
      </c>
      <c r="J858" t="s">
        <v>35</v>
      </c>
      <c r="K858" s="1">
        <v>40269</v>
      </c>
      <c r="M858" s="1" t="str">
        <f>IF(ISBLANK(Data[[#This Row],[EndDate]]),"Active","InActive")</f>
        <v>Active</v>
      </c>
      <c r="N858" t="s">
        <v>20</v>
      </c>
      <c r="O858" t="s">
        <v>54</v>
      </c>
      <c r="P858" t="s">
        <v>32</v>
      </c>
      <c r="Q858" s="2">
        <v>3290</v>
      </c>
    </row>
    <row r="859" spans="1:17" x14ac:dyDescent="0.2">
      <c r="A859" s="1">
        <v>43070</v>
      </c>
      <c r="B859">
        <v>41050</v>
      </c>
      <c r="C859" t="s">
        <v>80</v>
      </c>
      <c r="D859" t="s">
        <v>29</v>
      </c>
      <c r="E859" t="s">
        <v>30</v>
      </c>
      <c r="F859" s="5">
        <v>28</v>
      </c>
      <c r="G859" t="str">
        <f>IF(Data[[#This Row],[Age]]&lt;25,"Under 25",IF(Data[[#This Row],[Age]]&lt;35,"25–34",IF(Data[[#This Row],[Age]]&lt;45,"35–44",IF(Data[[#This Row],[Age]]&lt;55,"45–54","55+"))))</f>
        <v>25–34</v>
      </c>
      <c r="H859" t="s">
        <v>25</v>
      </c>
      <c r="I859" t="s">
        <v>18</v>
      </c>
      <c r="J859" t="s">
        <v>37</v>
      </c>
      <c r="K859" s="1">
        <v>39445</v>
      </c>
      <c r="M859" s="1" t="str">
        <f>IF(ISBLANK(Data[[#This Row],[EndDate]]),"Active","InActive")</f>
        <v>Active</v>
      </c>
      <c r="N859" t="s">
        <v>20</v>
      </c>
      <c r="O859" t="s">
        <v>54</v>
      </c>
      <c r="P859" t="s">
        <v>32</v>
      </c>
      <c r="Q859" s="2">
        <v>11564</v>
      </c>
    </row>
    <row r="860" spans="1:17" x14ac:dyDescent="0.2">
      <c r="A860" s="1">
        <v>43070</v>
      </c>
      <c r="B860">
        <v>56508</v>
      </c>
      <c r="C860" t="s">
        <v>79</v>
      </c>
      <c r="D860" t="s">
        <v>47</v>
      </c>
      <c r="E860" t="s">
        <v>64</v>
      </c>
      <c r="F860" s="5">
        <v>28</v>
      </c>
      <c r="G860" t="str">
        <f>IF(Data[[#This Row],[Age]]&lt;25,"Under 25",IF(Data[[#This Row],[Age]]&lt;35,"25–34",IF(Data[[#This Row],[Age]]&lt;45,"35–44",IF(Data[[#This Row],[Age]]&lt;55,"45–54","55+"))))</f>
        <v>25–34</v>
      </c>
      <c r="H860" t="s">
        <v>25</v>
      </c>
      <c r="I860" t="s">
        <v>56</v>
      </c>
      <c r="J860" t="s">
        <v>37</v>
      </c>
      <c r="K860" s="1">
        <v>38203</v>
      </c>
      <c r="M860" s="1" t="str">
        <f>IF(ISBLANK(Data[[#This Row],[EndDate]]),"Active","InActive")</f>
        <v>Active</v>
      </c>
      <c r="N860" t="s">
        <v>57</v>
      </c>
      <c r="O860" t="s">
        <v>54</v>
      </c>
      <c r="P860" t="s">
        <v>32</v>
      </c>
      <c r="Q860" s="2">
        <v>11732</v>
      </c>
    </row>
    <row r="861" spans="1:17" x14ac:dyDescent="0.2">
      <c r="A861" s="1">
        <v>43435</v>
      </c>
      <c r="B861">
        <v>49444</v>
      </c>
      <c r="C861" t="s">
        <v>80</v>
      </c>
      <c r="D861" t="s">
        <v>38</v>
      </c>
      <c r="E861" t="s">
        <v>39</v>
      </c>
      <c r="F861" s="5">
        <v>28</v>
      </c>
      <c r="G861" t="str">
        <f>IF(Data[[#This Row],[Age]]&lt;25,"Under 25",IF(Data[[#This Row],[Age]]&lt;35,"25–34",IF(Data[[#This Row],[Age]]&lt;45,"35–44",IF(Data[[#This Row],[Age]]&lt;55,"45–54","55+"))))</f>
        <v>25–34</v>
      </c>
      <c r="H861" t="s">
        <v>25</v>
      </c>
      <c r="I861" t="s">
        <v>18</v>
      </c>
      <c r="J861" t="s">
        <v>35</v>
      </c>
      <c r="K861" s="1">
        <v>41173</v>
      </c>
      <c r="L861" s="1">
        <v>41293</v>
      </c>
      <c r="M861" s="1" t="str">
        <f>IF(ISBLANK(Data[[#This Row],[EndDate]]),"Active","InActive")</f>
        <v>InActive</v>
      </c>
      <c r="N861" t="s">
        <v>20</v>
      </c>
      <c r="O861" t="s">
        <v>54</v>
      </c>
      <c r="P861" t="s">
        <v>40</v>
      </c>
      <c r="Q861" s="2">
        <v>4102</v>
      </c>
    </row>
    <row r="862" spans="1:17" x14ac:dyDescent="0.2">
      <c r="A862" s="1">
        <v>42705</v>
      </c>
      <c r="B862">
        <v>55770</v>
      </c>
      <c r="C862" t="s">
        <v>80</v>
      </c>
      <c r="D862" t="s">
        <v>15</v>
      </c>
      <c r="E862" t="s">
        <v>16</v>
      </c>
      <c r="F862" s="5">
        <v>28</v>
      </c>
      <c r="G862" t="str">
        <f>IF(Data[[#This Row],[Age]]&lt;25,"Under 25",IF(Data[[#This Row],[Age]]&lt;35,"25–34",IF(Data[[#This Row],[Age]]&lt;45,"35–44",IF(Data[[#This Row],[Age]]&lt;55,"45–54","55+"))))</f>
        <v>25–34</v>
      </c>
      <c r="H862" t="s">
        <v>34</v>
      </c>
      <c r="I862" t="s">
        <v>18</v>
      </c>
      <c r="J862" t="s">
        <v>37</v>
      </c>
      <c r="K862" s="1">
        <v>36749</v>
      </c>
      <c r="M862" s="1" t="str">
        <f>IF(ISBLANK(Data[[#This Row],[EndDate]]),"Active","InActive")</f>
        <v>Active</v>
      </c>
      <c r="N862" t="s">
        <v>20</v>
      </c>
      <c r="O862" t="s">
        <v>54</v>
      </c>
      <c r="P862" t="s">
        <v>22</v>
      </c>
      <c r="Q862" s="2">
        <v>5684</v>
      </c>
    </row>
    <row r="863" spans="1:17" x14ac:dyDescent="0.2">
      <c r="A863" s="1">
        <v>43070</v>
      </c>
      <c r="B863">
        <v>32952</v>
      </c>
      <c r="C863" t="s">
        <v>80</v>
      </c>
      <c r="D863" t="s">
        <v>43</v>
      </c>
      <c r="E863" t="s">
        <v>44</v>
      </c>
      <c r="F863" s="5">
        <v>28</v>
      </c>
      <c r="G863" t="str">
        <f>IF(Data[[#This Row],[Age]]&lt;25,"Under 25",IF(Data[[#This Row],[Age]]&lt;35,"25–34",IF(Data[[#This Row],[Age]]&lt;45,"35–44",IF(Data[[#This Row],[Age]]&lt;55,"45–54","55+"))))</f>
        <v>25–34</v>
      </c>
      <c r="H863" t="s">
        <v>25</v>
      </c>
      <c r="I863" t="s">
        <v>18</v>
      </c>
      <c r="J863" t="s">
        <v>37</v>
      </c>
      <c r="K863" s="1">
        <v>41548</v>
      </c>
      <c r="M863" s="1" t="str">
        <f>IF(ISBLANK(Data[[#This Row],[EndDate]]),"Active","InActive")</f>
        <v>Active</v>
      </c>
      <c r="N863" t="s">
        <v>20</v>
      </c>
      <c r="O863" t="s">
        <v>54</v>
      </c>
      <c r="P863" t="s">
        <v>32</v>
      </c>
      <c r="Q863" s="2">
        <v>1526</v>
      </c>
    </row>
    <row r="864" spans="1:17" x14ac:dyDescent="0.2">
      <c r="A864" s="1">
        <v>43070</v>
      </c>
      <c r="B864">
        <v>49776</v>
      </c>
      <c r="C864" t="s">
        <v>79</v>
      </c>
      <c r="D864" t="s">
        <v>23</v>
      </c>
      <c r="E864" t="s">
        <v>71</v>
      </c>
      <c r="F864" s="5">
        <v>28</v>
      </c>
      <c r="G864" t="str">
        <f>IF(Data[[#This Row],[Age]]&lt;25,"Under 25",IF(Data[[#This Row],[Age]]&lt;35,"25–34",IF(Data[[#This Row],[Age]]&lt;45,"35–44",IF(Data[[#This Row],[Age]]&lt;55,"45–54","55+"))))</f>
        <v>25–34</v>
      </c>
      <c r="H864" t="s">
        <v>49</v>
      </c>
      <c r="I864" t="s">
        <v>56</v>
      </c>
      <c r="J864" t="s">
        <v>37</v>
      </c>
      <c r="K864" s="1">
        <v>38910</v>
      </c>
      <c r="M864" s="1" t="str">
        <f>IF(ISBLANK(Data[[#This Row],[EndDate]]),"Active","InActive")</f>
        <v>Active</v>
      </c>
      <c r="N864" t="s">
        <v>57</v>
      </c>
      <c r="O864" t="s">
        <v>54</v>
      </c>
      <c r="P864" t="s">
        <v>32</v>
      </c>
      <c r="Q864" s="2">
        <v>2002</v>
      </c>
    </row>
    <row r="865" spans="1:17" x14ac:dyDescent="0.2">
      <c r="A865" s="1">
        <v>43435</v>
      </c>
      <c r="B865">
        <v>40486</v>
      </c>
      <c r="C865" t="s">
        <v>80</v>
      </c>
      <c r="D865" t="s">
        <v>27</v>
      </c>
      <c r="E865" t="s">
        <v>72</v>
      </c>
      <c r="F865" s="5">
        <v>28</v>
      </c>
      <c r="G865" t="str">
        <f>IF(Data[[#This Row],[Age]]&lt;25,"Under 25",IF(Data[[#This Row],[Age]]&lt;35,"25–34",IF(Data[[#This Row],[Age]]&lt;45,"35–44",IF(Data[[#This Row],[Age]]&lt;55,"45–54","55+"))))</f>
        <v>25–34</v>
      </c>
      <c r="H865" t="s">
        <v>49</v>
      </c>
      <c r="I865" t="s">
        <v>18</v>
      </c>
      <c r="J865" t="s">
        <v>37</v>
      </c>
      <c r="K865" s="1">
        <v>40849</v>
      </c>
      <c r="M865" s="1" t="str">
        <f>IF(ISBLANK(Data[[#This Row],[EndDate]]),"Active","InActive")</f>
        <v>Active</v>
      </c>
      <c r="N865" t="s">
        <v>20</v>
      </c>
      <c r="O865" t="s">
        <v>54</v>
      </c>
      <c r="P865" t="s">
        <v>40</v>
      </c>
      <c r="Q865" s="2">
        <v>2898</v>
      </c>
    </row>
    <row r="866" spans="1:17" x14ac:dyDescent="0.2">
      <c r="A866" s="1">
        <v>43435</v>
      </c>
      <c r="B866">
        <v>52982</v>
      </c>
      <c r="C866" t="s">
        <v>80</v>
      </c>
      <c r="D866" t="s">
        <v>41</v>
      </c>
      <c r="E866" t="s">
        <v>68</v>
      </c>
      <c r="F866" s="5">
        <v>28</v>
      </c>
      <c r="G866" t="str">
        <f>IF(Data[[#This Row],[Age]]&lt;25,"Under 25",IF(Data[[#This Row],[Age]]&lt;35,"25–34",IF(Data[[#This Row],[Age]]&lt;45,"35–44",IF(Data[[#This Row],[Age]]&lt;55,"45–54","55+"))))</f>
        <v>25–34</v>
      </c>
      <c r="H866" t="s">
        <v>17</v>
      </c>
      <c r="I866" t="s">
        <v>56</v>
      </c>
      <c r="J866" t="s">
        <v>37</v>
      </c>
      <c r="K866" s="1">
        <v>38897</v>
      </c>
      <c r="M866" s="1" t="str">
        <f>IF(ISBLANK(Data[[#This Row],[EndDate]]),"Active","InActive")</f>
        <v>Active</v>
      </c>
      <c r="N866" t="s">
        <v>57</v>
      </c>
      <c r="O866" t="s">
        <v>54</v>
      </c>
      <c r="P866" t="s">
        <v>40</v>
      </c>
      <c r="Q866" s="2">
        <v>8344</v>
      </c>
    </row>
    <row r="867" spans="1:17" x14ac:dyDescent="0.2">
      <c r="A867" s="1">
        <v>43435</v>
      </c>
      <c r="B867">
        <v>54338</v>
      </c>
      <c r="C867" t="s">
        <v>80</v>
      </c>
      <c r="D867" t="s">
        <v>27</v>
      </c>
      <c r="E867" t="s">
        <v>72</v>
      </c>
      <c r="F867" s="5">
        <v>28</v>
      </c>
      <c r="G867" t="str">
        <f>IF(Data[[#This Row],[Age]]&lt;25,"Under 25",IF(Data[[#This Row],[Age]]&lt;35,"25–34",IF(Data[[#This Row],[Age]]&lt;45,"35–44",IF(Data[[#This Row],[Age]]&lt;55,"45–54","55+"))))</f>
        <v>25–34</v>
      </c>
      <c r="H867" t="s">
        <v>46</v>
      </c>
      <c r="I867" t="s">
        <v>56</v>
      </c>
      <c r="J867" t="s">
        <v>37</v>
      </c>
      <c r="K867" s="1">
        <v>40549</v>
      </c>
      <c r="M867" s="1" t="str">
        <f>IF(ISBLANK(Data[[#This Row],[EndDate]]),"Active","InActive")</f>
        <v>Active</v>
      </c>
      <c r="N867" t="s">
        <v>57</v>
      </c>
      <c r="O867" t="s">
        <v>54</v>
      </c>
      <c r="P867" t="s">
        <v>40</v>
      </c>
      <c r="Q867" s="2">
        <v>9338</v>
      </c>
    </row>
    <row r="868" spans="1:17" x14ac:dyDescent="0.2">
      <c r="A868" s="1">
        <v>42705</v>
      </c>
      <c r="B868">
        <v>99720</v>
      </c>
      <c r="C868" t="s">
        <v>79</v>
      </c>
      <c r="D868" t="s">
        <v>23</v>
      </c>
      <c r="E868" t="s">
        <v>24</v>
      </c>
      <c r="F868" s="5">
        <v>28</v>
      </c>
      <c r="G868" t="str">
        <f>IF(Data[[#This Row],[Age]]&lt;25,"Under 25",IF(Data[[#This Row],[Age]]&lt;35,"25–34",IF(Data[[#This Row],[Age]]&lt;45,"35–44",IF(Data[[#This Row],[Age]]&lt;55,"45–54","55+"))))</f>
        <v>25–34</v>
      </c>
      <c r="H868" t="s">
        <v>34</v>
      </c>
      <c r="I868" t="s">
        <v>18</v>
      </c>
      <c r="J868" t="s">
        <v>35</v>
      </c>
      <c r="K868" s="1">
        <v>41243</v>
      </c>
      <c r="M868" s="1" t="str">
        <f>IF(ISBLANK(Data[[#This Row],[EndDate]]),"Active","InActive")</f>
        <v>Active</v>
      </c>
      <c r="N868" t="s">
        <v>20</v>
      </c>
      <c r="O868" t="s">
        <v>54</v>
      </c>
      <c r="P868" t="s">
        <v>22</v>
      </c>
      <c r="Q868" s="2">
        <v>13790</v>
      </c>
    </row>
    <row r="869" spans="1:17" x14ac:dyDescent="0.2">
      <c r="A869" s="1">
        <v>42705</v>
      </c>
      <c r="B869">
        <v>103502</v>
      </c>
      <c r="C869" t="s">
        <v>80</v>
      </c>
      <c r="D869" t="s">
        <v>23</v>
      </c>
      <c r="E869" t="s">
        <v>65</v>
      </c>
      <c r="F869" s="5">
        <v>29</v>
      </c>
      <c r="G869" t="str">
        <f>IF(Data[[#This Row],[Age]]&lt;25,"Under 25",IF(Data[[#This Row],[Age]]&lt;35,"25–34",IF(Data[[#This Row],[Age]]&lt;45,"35–44",IF(Data[[#This Row],[Age]]&lt;55,"45–54","55+"))))</f>
        <v>25–34</v>
      </c>
      <c r="H869" t="s">
        <v>31</v>
      </c>
      <c r="I869" t="s">
        <v>18</v>
      </c>
      <c r="J869" t="s">
        <v>26</v>
      </c>
      <c r="K869" s="1">
        <v>41179</v>
      </c>
      <c r="M869" s="1" t="str">
        <f>IF(ISBLANK(Data[[#This Row],[EndDate]]),"Active","InActive")</f>
        <v>Active</v>
      </c>
      <c r="N869" t="s">
        <v>20</v>
      </c>
      <c r="O869" t="s">
        <v>54</v>
      </c>
      <c r="P869" t="s">
        <v>22</v>
      </c>
      <c r="Q869" s="2">
        <v>9657</v>
      </c>
    </row>
    <row r="870" spans="1:17" x14ac:dyDescent="0.2">
      <c r="A870" s="1">
        <v>43070</v>
      </c>
      <c r="B870">
        <v>55578</v>
      </c>
      <c r="C870" t="s">
        <v>80</v>
      </c>
      <c r="D870" t="s">
        <v>52</v>
      </c>
      <c r="E870" t="s">
        <v>67</v>
      </c>
      <c r="F870" s="5">
        <v>29</v>
      </c>
      <c r="G870" t="str">
        <f>IF(Data[[#This Row],[Age]]&lt;25,"Under 25",IF(Data[[#This Row],[Age]]&lt;35,"25–34",IF(Data[[#This Row],[Age]]&lt;45,"35–44",IF(Data[[#This Row],[Age]]&lt;55,"45–54","55+"))))</f>
        <v>25–34</v>
      </c>
      <c r="H870" t="s">
        <v>46</v>
      </c>
      <c r="I870" t="s">
        <v>18</v>
      </c>
      <c r="J870" t="s">
        <v>37</v>
      </c>
      <c r="K870" s="1">
        <v>41220</v>
      </c>
      <c r="M870" s="1" t="str">
        <f>IF(ISBLANK(Data[[#This Row],[EndDate]]),"Active","InActive")</f>
        <v>Active</v>
      </c>
      <c r="N870" t="s">
        <v>20</v>
      </c>
      <c r="O870" t="s">
        <v>54</v>
      </c>
      <c r="P870" t="s">
        <v>32</v>
      </c>
      <c r="Q870" s="2">
        <v>2001</v>
      </c>
    </row>
    <row r="871" spans="1:17" x14ac:dyDescent="0.2">
      <c r="A871" s="1">
        <v>43435</v>
      </c>
      <c r="B871">
        <v>40428</v>
      </c>
      <c r="C871" t="s">
        <v>80</v>
      </c>
      <c r="D871" t="s">
        <v>52</v>
      </c>
      <c r="E871" t="s">
        <v>69</v>
      </c>
      <c r="F871" s="5">
        <v>29</v>
      </c>
      <c r="G871" t="str">
        <f>IF(Data[[#This Row],[Age]]&lt;25,"Under 25",IF(Data[[#This Row],[Age]]&lt;35,"25–34",IF(Data[[#This Row],[Age]]&lt;45,"35–44",IF(Data[[#This Row],[Age]]&lt;55,"45–54","55+"))))</f>
        <v>25–34</v>
      </c>
      <c r="H871" t="s">
        <v>31</v>
      </c>
      <c r="I871" t="s">
        <v>18</v>
      </c>
      <c r="J871" t="s">
        <v>37</v>
      </c>
      <c r="K871" s="1">
        <v>41878</v>
      </c>
      <c r="M871" s="1" t="str">
        <f>IF(ISBLANK(Data[[#This Row],[EndDate]]),"Active","InActive")</f>
        <v>Active</v>
      </c>
      <c r="N871" t="s">
        <v>20</v>
      </c>
      <c r="O871" t="s">
        <v>54</v>
      </c>
      <c r="P871" t="s">
        <v>40</v>
      </c>
      <c r="Q871" s="2">
        <v>4727</v>
      </c>
    </row>
    <row r="872" spans="1:17" x14ac:dyDescent="0.2">
      <c r="A872" s="1">
        <v>43435</v>
      </c>
      <c r="B872">
        <v>51184</v>
      </c>
      <c r="C872" t="s">
        <v>79</v>
      </c>
      <c r="D872" t="s">
        <v>15</v>
      </c>
      <c r="E872" t="s">
        <v>58</v>
      </c>
      <c r="F872" s="5">
        <v>29</v>
      </c>
      <c r="G872" t="str">
        <f>IF(Data[[#This Row],[Age]]&lt;25,"Under 25",IF(Data[[#This Row],[Age]]&lt;35,"25–34",IF(Data[[#This Row],[Age]]&lt;45,"35–44",IF(Data[[#This Row],[Age]]&lt;55,"45–54","55+"))))</f>
        <v>25–34</v>
      </c>
      <c r="H872" t="s">
        <v>59</v>
      </c>
      <c r="I872" t="s">
        <v>18</v>
      </c>
      <c r="J872" t="s">
        <v>35</v>
      </c>
      <c r="K872" s="1">
        <v>41703</v>
      </c>
      <c r="M872" s="1" t="str">
        <f>IF(ISBLANK(Data[[#This Row],[EndDate]]),"Active","InActive")</f>
        <v>Active</v>
      </c>
      <c r="N872" t="s">
        <v>20</v>
      </c>
      <c r="O872" t="s">
        <v>54</v>
      </c>
      <c r="P872" t="s">
        <v>40</v>
      </c>
      <c r="Q872" s="2">
        <v>10237</v>
      </c>
    </row>
    <row r="873" spans="1:17" x14ac:dyDescent="0.2">
      <c r="A873" s="1">
        <v>43435</v>
      </c>
      <c r="B873">
        <v>54736</v>
      </c>
      <c r="C873" t="s">
        <v>80</v>
      </c>
      <c r="D873" t="s">
        <v>23</v>
      </c>
      <c r="E873" t="s">
        <v>24</v>
      </c>
      <c r="F873" s="5">
        <v>29</v>
      </c>
      <c r="G873" t="str">
        <f>IF(Data[[#This Row],[Age]]&lt;25,"Under 25",IF(Data[[#This Row],[Age]]&lt;35,"25–34",IF(Data[[#This Row],[Age]]&lt;45,"35–44",IF(Data[[#This Row],[Age]]&lt;55,"45–54","55+"))))</f>
        <v>25–34</v>
      </c>
      <c r="H873" t="s">
        <v>49</v>
      </c>
      <c r="I873" t="s">
        <v>18</v>
      </c>
      <c r="J873" t="s">
        <v>26</v>
      </c>
      <c r="K873" s="1">
        <v>41955</v>
      </c>
      <c r="M873" s="1" t="str">
        <f>IF(ISBLANK(Data[[#This Row],[EndDate]]),"Active","InActive")</f>
        <v>Active</v>
      </c>
      <c r="N873" t="s">
        <v>20</v>
      </c>
      <c r="O873" t="s">
        <v>54</v>
      </c>
      <c r="P873" t="s">
        <v>40</v>
      </c>
      <c r="Q873" s="2">
        <v>8917.5</v>
      </c>
    </row>
    <row r="874" spans="1:17" x14ac:dyDescent="0.2">
      <c r="A874" s="1">
        <v>42705</v>
      </c>
      <c r="B874">
        <v>51324</v>
      </c>
      <c r="C874" t="s">
        <v>80</v>
      </c>
      <c r="D874" t="s">
        <v>43</v>
      </c>
      <c r="E874" t="s">
        <v>44</v>
      </c>
      <c r="F874" s="5">
        <v>29</v>
      </c>
      <c r="G874" t="str">
        <f>IF(Data[[#This Row],[Age]]&lt;25,"Under 25",IF(Data[[#This Row],[Age]]&lt;35,"25–34",IF(Data[[#This Row],[Age]]&lt;45,"35–44",IF(Data[[#This Row],[Age]]&lt;55,"45–54","55+"))))</f>
        <v>25–34</v>
      </c>
      <c r="H874" t="s">
        <v>46</v>
      </c>
      <c r="I874" t="s">
        <v>56</v>
      </c>
      <c r="J874" t="s">
        <v>37</v>
      </c>
      <c r="K874" s="1">
        <v>38064</v>
      </c>
      <c r="M874" s="1" t="str">
        <f>IF(ISBLANK(Data[[#This Row],[EndDate]]),"Active","InActive")</f>
        <v>Active</v>
      </c>
      <c r="N874" t="s">
        <v>57</v>
      </c>
      <c r="O874" t="s">
        <v>54</v>
      </c>
      <c r="P874" t="s">
        <v>22</v>
      </c>
      <c r="Q874" s="2">
        <v>9990.5</v>
      </c>
    </row>
    <row r="875" spans="1:17" x14ac:dyDescent="0.2">
      <c r="A875" s="1">
        <v>42705</v>
      </c>
      <c r="B875">
        <v>119162</v>
      </c>
      <c r="C875" t="s">
        <v>80</v>
      </c>
      <c r="D875" t="s">
        <v>23</v>
      </c>
      <c r="E875" t="s">
        <v>71</v>
      </c>
      <c r="F875" s="5">
        <v>29</v>
      </c>
      <c r="G875" t="str">
        <f>IF(Data[[#This Row],[Age]]&lt;25,"Under 25",IF(Data[[#This Row],[Age]]&lt;35,"25–34",IF(Data[[#This Row],[Age]]&lt;45,"35–44",IF(Data[[#This Row],[Age]]&lt;55,"45–54","55+"))))</f>
        <v>25–34</v>
      </c>
      <c r="H875" t="s">
        <v>31</v>
      </c>
      <c r="I875" t="s">
        <v>56</v>
      </c>
      <c r="J875" t="s">
        <v>26</v>
      </c>
      <c r="K875" s="1">
        <v>40785</v>
      </c>
      <c r="M875" s="1" t="str">
        <f>IF(ISBLANK(Data[[#This Row],[EndDate]]),"Active","InActive")</f>
        <v>Active</v>
      </c>
      <c r="N875" t="s">
        <v>57</v>
      </c>
      <c r="O875" t="s">
        <v>54</v>
      </c>
      <c r="P875" t="s">
        <v>22</v>
      </c>
      <c r="Q875" s="2">
        <v>10135.5</v>
      </c>
    </row>
    <row r="876" spans="1:17" x14ac:dyDescent="0.2">
      <c r="A876" s="1">
        <v>43070</v>
      </c>
      <c r="B876">
        <v>21208</v>
      </c>
      <c r="C876" t="s">
        <v>80</v>
      </c>
      <c r="D876" t="s">
        <v>38</v>
      </c>
      <c r="E876" t="s">
        <v>39</v>
      </c>
      <c r="F876" s="5">
        <v>29</v>
      </c>
      <c r="G876" t="str">
        <f>IF(Data[[#This Row],[Age]]&lt;25,"Under 25",IF(Data[[#This Row],[Age]]&lt;35,"25–34",IF(Data[[#This Row],[Age]]&lt;45,"35–44",IF(Data[[#This Row],[Age]]&lt;55,"45–54","55+"))))</f>
        <v>25–34</v>
      </c>
      <c r="H876" t="s">
        <v>49</v>
      </c>
      <c r="I876" t="s">
        <v>56</v>
      </c>
      <c r="J876" t="s">
        <v>37</v>
      </c>
      <c r="K876" s="1">
        <v>36720</v>
      </c>
      <c r="L876" s="1">
        <v>36820</v>
      </c>
      <c r="M876" s="1" t="str">
        <f>IF(ISBLANK(Data[[#This Row],[EndDate]]),"Active","InActive")</f>
        <v>InActive</v>
      </c>
      <c r="N876" t="s">
        <v>57</v>
      </c>
      <c r="O876" t="s">
        <v>54</v>
      </c>
      <c r="P876" t="s">
        <v>32</v>
      </c>
      <c r="Q876" s="2">
        <v>10730</v>
      </c>
    </row>
    <row r="877" spans="1:17" x14ac:dyDescent="0.2">
      <c r="A877" s="1">
        <v>43070</v>
      </c>
      <c r="B877">
        <v>50322</v>
      </c>
      <c r="C877" t="s">
        <v>79</v>
      </c>
      <c r="D877" t="s">
        <v>29</v>
      </c>
      <c r="E877" t="s">
        <v>33</v>
      </c>
      <c r="F877" s="5">
        <v>29</v>
      </c>
      <c r="G877" t="str">
        <f>IF(Data[[#This Row],[Age]]&lt;25,"Under 25",IF(Data[[#This Row],[Age]]&lt;35,"25–34",IF(Data[[#This Row],[Age]]&lt;45,"35–44",IF(Data[[#This Row],[Age]]&lt;55,"45–54","55+"))))</f>
        <v>25–34</v>
      </c>
      <c r="H877" t="s">
        <v>17</v>
      </c>
      <c r="I877" t="s">
        <v>56</v>
      </c>
      <c r="J877" t="s">
        <v>26</v>
      </c>
      <c r="K877" s="1">
        <v>39417</v>
      </c>
      <c r="M877" s="1" t="str">
        <f>IF(ISBLANK(Data[[#This Row],[EndDate]]),"Active","InActive")</f>
        <v>Active</v>
      </c>
      <c r="N877" t="s">
        <v>57</v>
      </c>
      <c r="O877" t="s">
        <v>54</v>
      </c>
      <c r="P877" t="s">
        <v>32</v>
      </c>
      <c r="Q877" s="2">
        <v>6438</v>
      </c>
    </row>
    <row r="878" spans="1:17" x14ac:dyDescent="0.2">
      <c r="A878" s="1">
        <v>43070</v>
      </c>
      <c r="B878">
        <v>50336</v>
      </c>
      <c r="C878" t="s">
        <v>79</v>
      </c>
      <c r="D878" t="s">
        <v>38</v>
      </c>
      <c r="E878" t="s">
        <v>45</v>
      </c>
      <c r="F878" s="5">
        <v>29</v>
      </c>
      <c r="G878" t="str">
        <f>IF(Data[[#This Row],[Age]]&lt;25,"Under 25",IF(Data[[#This Row],[Age]]&lt;35,"25–34",IF(Data[[#This Row],[Age]]&lt;45,"35–44",IF(Data[[#This Row],[Age]]&lt;55,"45–54","55+"))))</f>
        <v>25–34</v>
      </c>
      <c r="H878" t="s">
        <v>49</v>
      </c>
      <c r="I878" t="s">
        <v>56</v>
      </c>
      <c r="J878" t="s">
        <v>26</v>
      </c>
      <c r="K878" s="1">
        <v>38610</v>
      </c>
      <c r="M878" s="1" t="str">
        <f>IF(ISBLANK(Data[[#This Row],[EndDate]]),"Active","InActive")</f>
        <v>Active</v>
      </c>
      <c r="N878" t="s">
        <v>57</v>
      </c>
      <c r="O878" t="s">
        <v>54</v>
      </c>
      <c r="P878" t="s">
        <v>32</v>
      </c>
      <c r="Q878" s="2">
        <v>9120.5</v>
      </c>
    </row>
    <row r="879" spans="1:17" x14ac:dyDescent="0.2">
      <c r="A879" s="1">
        <v>43435</v>
      </c>
      <c r="B879">
        <v>49776</v>
      </c>
      <c r="C879" t="s">
        <v>79</v>
      </c>
      <c r="D879" t="s">
        <v>23</v>
      </c>
      <c r="E879" t="s">
        <v>71</v>
      </c>
      <c r="F879" s="5">
        <v>29</v>
      </c>
      <c r="G879" t="str">
        <f>IF(Data[[#This Row],[Age]]&lt;25,"Under 25",IF(Data[[#This Row],[Age]]&lt;35,"25–34",IF(Data[[#This Row],[Age]]&lt;45,"35–44",IF(Data[[#This Row],[Age]]&lt;55,"45–54","55+"))))</f>
        <v>25–34</v>
      </c>
      <c r="H879" t="s">
        <v>49</v>
      </c>
      <c r="I879" t="s">
        <v>56</v>
      </c>
      <c r="J879" t="s">
        <v>37</v>
      </c>
      <c r="K879" s="1">
        <v>38910</v>
      </c>
      <c r="M879" s="1" t="str">
        <f>IF(ISBLANK(Data[[#This Row],[EndDate]]),"Active","InActive")</f>
        <v>Active</v>
      </c>
      <c r="N879" t="s">
        <v>57</v>
      </c>
      <c r="O879" t="s">
        <v>54</v>
      </c>
      <c r="P879" t="s">
        <v>40</v>
      </c>
      <c r="Q879" s="2">
        <v>3059.5</v>
      </c>
    </row>
    <row r="880" spans="1:17" x14ac:dyDescent="0.2">
      <c r="A880" s="1">
        <v>42705</v>
      </c>
      <c r="B880">
        <v>33066</v>
      </c>
      <c r="C880" t="s">
        <v>79</v>
      </c>
      <c r="D880" t="s">
        <v>38</v>
      </c>
      <c r="E880" t="s">
        <v>45</v>
      </c>
      <c r="F880" s="5">
        <v>29</v>
      </c>
      <c r="G880" t="str">
        <f>IF(Data[[#This Row],[Age]]&lt;25,"Under 25",IF(Data[[#This Row],[Age]]&lt;35,"25–34",IF(Data[[#This Row],[Age]]&lt;45,"35–44",IF(Data[[#This Row],[Age]]&lt;55,"45–54","55+"))))</f>
        <v>25–34</v>
      </c>
      <c r="H880" t="s">
        <v>34</v>
      </c>
      <c r="I880" t="s">
        <v>18</v>
      </c>
      <c r="J880" t="s">
        <v>35</v>
      </c>
      <c r="K880" s="1">
        <v>40646</v>
      </c>
      <c r="M880" s="1" t="str">
        <f>IF(ISBLANK(Data[[#This Row],[EndDate]]),"Active","InActive")</f>
        <v>Active</v>
      </c>
      <c r="N880" t="s">
        <v>20</v>
      </c>
      <c r="O880" t="s">
        <v>54</v>
      </c>
      <c r="P880" t="s">
        <v>22</v>
      </c>
      <c r="Q880" s="2">
        <v>1522.5</v>
      </c>
    </row>
    <row r="881" spans="1:17" x14ac:dyDescent="0.2">
      <c r="A881" s="1">
        <v>42705</v>
      </c>
      <c r="B881">
        <v>33240</v>
      </c>
      <c r="C881" t="s">
        <v>79</v>
      </c>
      <c r="D881" t="s">
        <v>27</v>
      </c>
      <c r="E881" t="s">
        <v>72</v>
      </c>
      <c r="F881" s="5">
        <v>29</v>
      </c>
      <c r="G881" t="str">
        <f>IF(Data[[#This Row],[Age]]&lt;25,"Under 25",IF(Data[[#This Row],[Age]]&lt;35,"25–34",IF(Data[[#This Row],[Age]]&lt;45,"35–44",IF(Data[[#This Row],[Age]]&lt;55,"45–54","55+"))))</f>
        <v>25–34</v>
      </c>
      <c r="H881" t="s">
        <v>34</v>
      </c>
      <c r="I881" t="s">
        <v>56</v>
      </c>
      <c r="J881" t="s">
        <v>37</v>
      </c>
      <c r="K881" s="1">
        <v>37433</v>
      </c>
      <c r="M881" s="1" t="str">
        <f>IF(ISBLANK(Data[[#This Row],[EndDate]]),"Active","InActive")</f>
        <v>Active</v>
      </c>
      <c r="N881" t="s">
        <v>57</v>
      </c>
      <c r="O881" t="s">
        <v>54</v>
      </c>
      <c r="P881" t="s">
        <v>22</v>
      </c>
      <c r="Q881" s="2">
        <v>10860.5</v>
      </c>
    </row>
    <row r="882" spans="1:17" x14ac:dyDescent="0.2">
      <c r="A882" s="1">
        <v>42705</v>
      </c>
      <c r="B882">
        <v>40548</v>
      </c>
      <c r="C882" t="s">
        <v>79</v>
      </c>
      <c r="D882" t="s">
        <v>29</v>
      </c>
      <c r="E882" t="s">
        <v>30</v>
      </c>
      <c r="F882" s="5">
        <v>29</v>
      </c>
      <c r="G882" t="str">
        <f>IF(Data[[#This Row],[Age]]&lt;25,"Under 25",IF(Data[[#This Row],[Age]]&lt;35,"25–34",IF(Data[[#This Row],[Age]]&lt;45,"35–44",IF(Data[[#This Row],[Age]]&lt;55,"45–54","55+"))))</f>
        <v>25–34</v>
      </c>
      <c r="H882" t="s">
        <v>34</v>
      </c>
      <c r="I882" t="s">
        <v>56</v>
      </c>
      <c r="J882" t="s">
        <v>37</v>
      </c>
      <c r="K882" s="1">
        <v>39204</v>
      </c>
      <c r="M882" s="1" t="str">
        <f>IF(ISBLANK(Data[[#This Row],[EndDate]]),"Active","InActive")</f>
        <v>Active</v>
      </c>
      <c r="N882" t="s">
        <v>57</v>
      </c>
      <c r="O882" t="s">
        <v>54</v>
      </c>
      <c r="P882" t="s">
        <v>22</v>
      </c>
      <c r="Q882" s="2">
        <v>7859</v>
      </c>
    </row>
    <row r="883" spans="1:17" x14ac:dyDescent="0.2">
      <c r="A883" s="1">
        <v>43070</v>
      </c>
      <c r="B883">
        <v>55770</v>
      </c>
      <c r="C883" t="s">
        <v>80</v>
      </c>
      <c r="D883" t="s">
        <v>15</v>
      </c>
      <c r="E883" t="s">
        <v>16</v>
      </c>
      <c r="F883" s="5">
        <v>29</v>
      </c>
      <c r="G883" t="str">
        <f>IF(Data[[#This Row],[Age]]&lt;25,"Under 25",IF(Data[[#This Row],[Age]]&lt;35,"25–34",IF(Data[[#This Row],[Age]]&lt;45,"35–44",IF(Data[[#This Row],[Age]]&lt;55,"45–54","55+"))))</f>
        <v>25–34</v>
      </c>
      <c r="H883" t="s">
        <v>34</v>
      </c>
      <c r="I883" t="s">
        <v>18</v>
      </c>
      <c r="J883" t="s">
        <v>37</v>
      </c>
      <c r="K883" s="1">
        <v>36749</v>
      </c>
      <c r="M883" s="1" t="str">
        <f>IF(ISBLANK(Data[[#This Row],[EndDate]]),"Active","InActive")</f>
        <v>Active</v>
      </c>
      <c r="N883" t="s">
        <v>20</v>
      </c>
      <c r="O883" t="s">
        <v>54</v>
      </c>
      <c r="P883" t="s">
        <v>32</v>
      </c>
      <c r="Q883" s="2">
        <v>7061.5</v>
      </c>
    </row>
    <row r="884" spans="1:17" x14ac:dyDescent="0.2">
      <c r="A884" s="1">
        <v>43435</v>
      </c>
      <c r="B884">
        <v>53744</v>
      </c>
      <c r="C884" t="s">
        <v>79</v>
      </c>
      <c r="D884" t="s">
        <v>50</v>
      </c>
      <c r="E884" t="s">
        <v>55</v>
      </c>
      <c r="F884" s="5">
        <v>29</v>
      </c>
      <c r="G884" t="str">
        <f>IF(Data[[#This Row],[Age]]&lt;25,"Under 25",IF(Data[[#This Row],[Age]]&lt;35,"25–34",IF(Data[[#This Row],[Age]]&lt;45,"35–44",IF(Data[[#This Row],[Age]]&lt;55,"45–54","55+"))))</f>
        <v>25–34</v>
      </c>
      <c r="H884" t="s">
        <v>34</v>
      </c>
      <c r="I884" t="s">
        <v>56</v>
      </c>
      <c r="J884" t="s">
        <v>35</v>
      </c>
      <c r="K884" s="1">
        <v>41618</v>
      </c>
      <c r="M884" s="1" t="str">
        <f>IF(ISBLANK(Data[[#This Row],[EndDate]]),"Active","InActive")</f>
        <v>Active</v>
      </c>
      <c r="N884" t="s">
        <v>57</v>
      </c>
      <c r="O884" t="s">
        <v>54</v>
      </c>
      <c r="P884" t="s">
        <v>40</v>
      </c>
      <c r="Q884" s="2">
        <v>2276.5</v>
      </c>
    </row>
    <row r="885" spans="1:17" x14ac:dyDescent="0.2">
      <c r="A885" s="1">
        <v>43435</v>
      </c>
      <c r="B885">
        <v>53876</v>
      </c>
      <c r="C885" t="s">
        <v>79</v>
      </c>
      <c r="D885" t="s">
        <v>29</v>
      </c>
      <c r="E885" t="s">
        <v>33</v>
      </c>
      <c r="F885" s="5">
        <v>29</v>
      </c>
      <c r="G885" t="str">
        <f>IF(Data[[#This Row],[Age]]&lt;25,"Under 25",IF(Data[[#This Row],[Age]]&lt;35,"25–34",IF(Data[[#This Row],[Age]]&lt;45,"35–44",IF(Data[[#This Row],[Age]]&lt;55,"45–54","55+"))))</f>
        <v>25–34</v>
      </c>
      <c r="H885" t="s">
        <v>34</v>
      </c>
      <c r="I885" t="s">
        <v>56</v>
      </c>
      <c r="J885" t="s">
        <v>26</v>
      </c>
      <c r="K885" s="1">
        <v>41508</v>
      </c>
      <c r="M885" s="1" t="str">
        <f>IF(ISBLANK(Data[[#This Row],[EndDate]]),"Active","InActive")</f>
        <v>Active</v>
      </c>
      <c r="N885" t="s">
        <v>57</v>
      </c>
      <c r="O885" t="s">
        <v>54</v>
      </c>
      <c r="P885" t="s">
        <v>40</v>
      </c>
      <c r="Q885" s="2">
        <v>1653</v>
      </c>
    </row>
    <row r="886" spans="1:17" x14ac:dyDescent="0.2">
      <c r="A886" s="1">
        <v>42705</v>
      </c>
      <c r="B886">
        <v>52764</v>
      </c>
      <c r="C886" t="s">
        <v>80</v>
      </c>
      <c r="D886" t="s">
        <v>23</v>
      </c>
      <c r="E886" t="s">
        <v>71</v>
      </c>
      <c r="F886" s="5">
        <v>29</v>
      </c>
      <c r="G886" t="str">
        <f>IF(Data[[#This Row],[Age]]&lt;25,"Under 25",IF(Data[[#This Row],[Age]]&lt;35,"25–34",IF(Data[[#This Row],[Age]]&lt;45,"35–44",IF(Data[[#This Row],[Age]]&lt;55,"45–54","55+"))))</f>
        <v>25–34</v>
      </c>
      <c r="H886" t="s">
        <v>25</v>
      </c>
      <c r="I886" t="s">
        <v>56</v>
      </c>
      <c r="J886" t="s">
        <v>35</v>
      </c>
      <c r="K886" s="1">
        <v>40274</v>
      </c>
      <c r="M886" s="1" t="str">
        <f>IF(ISBLANK(Data[[#This Row],[EndDate]]),"Active","InActive")</f>
        <v>Active</v>
      </c>
      <c r="N886" t="s">
        <v>57</v>
      </c>
      <c r="O886" t="s">
        <v>54</v>
      </c>
      <c r="P886" t="s">
        <v>22</v>
      </c>
      <c r="Q886" s="2">
        <v>5307</v>
      </c>
    </row>
    <row r="887" spans="1:17" x14ac:dyDescent="0.2">
      <c r="A887" s="1">
        <v>43070</v>
      </c>
      <c r="B887">
        <v>49832</v>
      </c>
      <c r="C887" t="s">
        <v>79</v>
      </c>
      <c r="D887" t="s">
        <v>27</v>
      </c>
      <c r="E887" t="s">
        <v>28</v>
      </c>
      <c r="F887" s="5">
        <v>29</v>
      </c>
      <c r="G887" t="str">
        <f>IF(Data[[#This Row],[Age]]&lt;25,"Under 25",IF(Data[[#This Row],[Age]]&lt;35,"25–34",IF(Data[[#This Row],[Age]]&lt;45,"35–44",IF(Data[[#This Row],[Age]]&lt;55,"45–54","55+"))))</f>
        <v>25–34</v>
      </c>
      <c r="H887" t="s">
        <v>25</v>
      </c>
      <c r="I887" t="s">
        <v>56</v>
      </c>
      <c r="J887" t="s">
        <v>26</v>
      </c>
      <c r="K887" s="1">
        <v>38182</v>
      </c>
      <c r="M887" s="1" t="str">
        <f>IF(ISBLANK(Data[[#This Row],[EndDate]]),"Active","InActive")</f>
        <v>Active</v>
      </c>
      <c r="N887" t="s">
        <v>57</v>
      </c>
      <c r="O887" t="s">
        <v>54</v>
      </c>
      <c r="P887" t="s">
        <v>32</v>
      </c>
      <c r="Q887" s="2">
        <v>11078</v>
      </c>
    </row>
    <row r="888" spans="1:17" x14ac:dyDescent="0.2">
      <c r="A888" s="1">
        <v>43070</v>
      </c>
      <c r="B888">
        <v>91744</v>
      </c>
      <c r="C888" t="s">
        <v>79</v>
      </c>
      <c r="D888" t="s">
        <v>38</v>
      </c>
      <c r="E888" t="s">
        <v>39</v>
      </c>
      <c r="F888" s="5">
        <v>29</v>
      </c>
      <c r="G888" t="str">
        <f>IF(Data[[#This Row],[Age]]&lt;25,"Under 25",IF(Data[[#This Row],[Age]]&lt;35,"25–34",IF(Data[[#This Row],[Age]]&lt;45,"35–44",IF(Data[[#This Row],[Age]]&lt;55,"45–54","55+"))))</f>
        <v>25–34</v>
      </c>
      <c r="H888" t="s">
        <v>25</v>
      </c>
      <c r="I888" t="s">
        <v>56</v>
      </c>
      <c r="J888" t="s">
        <v>37</v>
      </c>
      <c r="K888" s="1">
        <v>39070</v>
      </c>
      <c r="M888" s="1" t="str">
        <f>IF(ISBLANK(Data[[#This Row],[EndDate]]),"Active","InActive")</f>
        <v>Active</v>
      </c>
      <c r="N888" t="s">
        <v>57</v>
      </c>
      <c r="O888" t="s">
        <v>54</v>
      </c>
      <c r="P888" t="s">
        <v>32</v>
      </c>
      <c r="Q888" s="2">
        <v>9512</v>
      </c>
    </row>
    <row r="889" spans="1:17" x14ac:dyDescent="0.2">
      <c r="A889" s="1">
        <v>43435</v>
      </c>
      <c r="B889">
        <v>41050</v>
      </c>
      <c r="C889" t="s">
        <v>80</v>
      </c>
      <c r="D889" t="s">
        <v>29</v>
      </c>
      <c r="E889" t="s">
        <v>30</v>
      </c>
      <c r="F889" s="5">
        <v>29</v>
      </c>
      <c r="G889" t="str">
        <f>IF(Data[[#This Row],[Age]]&lt;25,"Under 25",IF(Data[[#This Row],[Age]]&lt;35,"25–34",IF(Data[[#This Row],[Age]]&lt;45,"35–44",IF(Data[[#This Row],[Age]]&lt;55,"45–54","55+"))))</f>
        <v>25–34</v>
      </c>
      <c r="H889" t="s">
        <v>25</v>
      </c>
      <c r="I889" t="s">
        <v>18</v>
      </c>
      <c r="J889" t="s">
        <v>37</v>
      </c>
      <c r="K889" s="1">
        <v>39445</v>
      </c>
      <c r="M889" s="1" t="str">
        <f>IF(ISBLANK(Data[[#This Row],[EndDate]]),"Active","InActive")</f>
        <v>Active</v>
      </c>
      <c r="N889" t="s">
        <v>20</v>
      </c>
      <c r="O889" t="s">
        <v>54</v>
      </c>
      <c r="P889" t="s">
        <v>40</v>
      </c>
      <c r="Q889" s="2">
        <v>10193.5</v>
      </c>
    </row>
    <row r="890" spans="1:17" x14ac:dyDescent="0.2">
      <c r="A890" s="1">
        <v>43435</v>
      </c>
      <c r="B890">
        <v>56508</v>
      </c>
      <c r="C890" t="s">
        <v>79</v>
      </c>
      <c r="D890" t="s">
        <v>47</v>
      </c>
      <c r="E890" t="s">
        <v>64</v>
      </c>
      <c r="F890" s="5">
        <v>29</v>
      </c>
      <c r="G890" t="str">
        <f>IF(Data[[#This Row],[Age]]&lt;25,"Under 25",IF(Data[[#This Row],[Age]]&lt;35,"25–34",IF(Data[[#This Row],[Age]]&lt;45,"35–44",IF(Data[[#This Row],[Age]]&lt;55,"45–54","55+"))))</f>
        <v>25–34</v>
      </c>
      <c r="H890" t="s">
        <v>25</v>
      </c>
      <c r="I890" t="s">
        <v>56</v>
      </c>
      <c r="J890" t="s">
        <v>37</v>
      </c>
      <c r="K890" s="1">
        <v>38203</v>
      </c>
      <c r="M890" s="1" t="str">
        <f>IF(ISBLANK(Data[[#This Row],[EndDate]]),"Active","InActive")</f>
        <v>Active</v>
      </c>
      <c r="N890" t="s">
        <v>57</v>
      </c>
      <c r="O890" t="s">
        <v>54</v>
      </c>
      <c r="P890" t="s">
        <v>40</v>
      </c>
      <c r="Q890" s="2">
        <v>11455</v>
      </c>
    </row>
    <row r="891" spans="1:17" x14ac:dyDescent="0.2">
      <c r="A891" s="1">
        <v>42705</v>
      </c>
      <c r="B891">
        <v>106134</v>
      </c>
      <c r="C891" t="s">
        <v>79</v>
      </c>
      <c r="D891" t="s">
        <v>52</v>
      </c>
      <c r="E891" t="s">
        <v>67</v>
      </c>
      <c r="F891" s="5">
        <v>29</v>
      </c>
      <c r="G891" t="str">
        <f>IF(Data[[#This Row],[Age]]&lt;25,"Under 25",IF(Data[[#This Row],[Age]]&lt;35,"25–34",IF(Data[[#This Row],[Age]]&lt;45,"35–44",IF(Data[[#This Row],[Age]]&lt;55,"45–54","55+"))))</f>
        <v>25–34</v>
      </c>
      <c r="H891" t="s">
        <v>59</v>
      </c>
      <c r="I891" t="s">
        <v>18</v>
      </c>
      <c r="J891" t="s">
        <v>19</v>
      </c>
      <c r="K891" s="1">
        <v>37966</v>
      </c>
      <c r="M891" s="1" t="str">
        <f>IF(ISBLANK(Data[[#This Row],[EndDate]]),"Active","InActive")</f>
        <v>Active</v>
      </c>
      <c r="N891" t="s">
        <v>20</v>
      </c>
      <c r="O891" t="s">
        <v>54</v>
      </c>
      <c r="P891" t="s">
        <v>22</v>
      </c>
      <c r="Q891" s="2">
        <v>1986.5</v>
      </c>
    </row>
    <row r="892" spans="1:17" x14ac:dyDescent="0.2">
      <c r="A892" s="1">
        <v>43070</v>
      </c>
      <c r="B892">
        <v>92240</v>
      </c>
      <c r="C892" t="s">
        <v>80</v>
      </c>
      <c r="D892" t="s">
        <v>41</v>
      </c>
      <c r="E892" t="s">
        <v>62</v>
      </c>
      <c r="F892" s="5">
        <v>29</v>
      </c>
      <c r="G892" t="str">
        <f>IF(Data[[#This Row],[Age]]&lt;25,"Under 25",IF(Data[[#This Row],[Age]]&lt;35,"25–34",IF(Data[[#This Row],[Age]]&lt;45,"35–44",IF(Data[[#This Row],[Age]]&lt;55,"45–54","55+"))))</f>
        <v>25–34</v>
      </c>
      <c r="H892" t="s">
        <v>31</v>
      </c>
      <c r="I892" t="s">
        <v>18</v>
      </c>
      <c r="J892" t="s">
        <v>19</v>
      </c>
      <c r="K892" s="1">
        <v>39575</v>
      </c>
      <c r="M892" s="1" t="str">
        <f>IF(ISBLANK(Data[[#This Row],[EndDate]]),"Active","InActive")</f>
        <v>Active</v>
      </c>
      <c r="N892" t="s">
        <v>20</v>
      </c>
      <c r="O892" t="s">
        <v>54</v>
      </c>
      <c r="P892" t="s">
        <v>32</v>
      </c>
      <c r="Q892" s="2">
        <v>2305.5</v>
      </c>
    </row>
    <row r="893" spans="1:17" x14ac:dyDescent="0.2">
      <c r="A893" s="1">
        <v>43435</v>
      </c>
      <c r="B893">
        <v>54526</v>
      </c>
      <c r="C893" t="s">
        <v>80</v>
      </c>
      <c r="D893" t="s">
        <v>15</v>
      </c>
      <c r="E893" t="s">
        <v>58</v>
      </c>
      <c r="F893" s="5">
        <v>29</v>
      </c>
      <c r="G893" t="str">
        <f>IF(Data[[#This Row],[Age]]&lt;25,"Under 25",IF(Data[[#This Row],[Age]]&lt;35,"25–34",IF(Data[[#This Row],[Age]]&lt;45,"35–44",IF(Data[[#This Row],[Age]]&lt;55,"45–54","55+"))))</f>
        <v>25–34</v>
      </c>
      <c r="H893" t="s">
        <v>46</v>
      </c>
      <c r="I893" t="s">
        <v>56</v>
      </c>
      <c r="J893" t="s">
        <v>19</v>
      </c>
      <c r="K893" s="1">
        <v>41647</v>
      </c>
      <c r="L893" s="1">
        <v>41767</v>
      </c>
      <c r="M893" s="1" t="str">
        <f>IF(ISBLANK(Data[[#This Row],[EndDate]]),"Active","InActive")</f>
        <v>InActive</v>
      </c>
      <c r="N893" t="s">
        <v>57</v>
      </c>
      <c r="O893" t="s">
        <v>54</v>
      </c>
      <c r="P893" t="s">
        <v>40</v>
      </c>
      <c r="Q893" s="2">
        <v>7206.5</v>
      </c>
    </row>
    <row r="894" spans="1:17" x14ac:dyDescent="0.2">
      <c r="A894" s="1">
        <v>43435</v>
      </c>
      <c r="B894">
        <v>95716</v>
      </c>
      <c r="C894" t="s">
        <v>80</v>
      </c>
      <c r="D894" t="s">
        <v>41</v>
      </c>
      <c r="E894" t="s">
        <v>68</v>
      </c>
      <c r="F894" s="5">
        <v>29</v>
      </c>
      <c r="G894" t="str">
        <f>IF(Data[[#This Row],[Age]]&lt;25,"Under 25",IF(Data[[#This Row],[Age]]&lt;35,"25–34",IF(Data[[#This Row],[Age]]&lt;45,"35–44",IF(Data[[#This Row],[Age]]&lt;55,"45–54","55+"))))</f>
        <v>25–34</v>
      </c>
      <c r="H894" t="s">
        <v>25</v>
      </c>
      <c r="I894" t="s">
        <v>56</v>
      </c>
      <c r="J894" t="s">
        <v>19</v>
      </c>
      <c r="K894" s="1">
        <v>41478</v>
      </c>
      <c r="M894" s="1" t="str">
        <f>IF(ISBLANK(Data[[#This Row],[EndDate]]),"Active","InActive")</f>
        <v>Active</v>
      </c>
      <c r="N894" t="s">
        <v>57</v>
      </c>
      <c r="O894" t="s">
        <v>54</v>
      </c>
      <c r="P894" t="s">
        <v>40</v>
      </c>
      <c r="Q894" s="2">
        <v>11571</v>
      </c>
    </row>
    <row r="895" spans="1:17" x14ac:dyDescent="0.2">
      <c r="A895" s="1">
        <v>42705</v>
      </c>
      <c r="B895">
        <v>92292</v>
      </c>
      <c r="C895" t="s">
        <v>79</v>
      </c>
      <c r="D895" t="s">
        <v>38</v>
      </c>
      <c r="E895" t="s">
        <v>45</v>
      </c>
      <c r="F895" s="5">
        <v>29</v>
      </c>
      <c r="G895" t="str">
        <f>IF(Data[[#This Row],[Age]]&lt;25,"Under 25",IF(Data[[#This Row],[Age]]&lt;35,"25–34",IF(Data[[#This Row],[Age]]&lt;45,"35–44",IF(Data[[#This Row],[Age]]&lt;55,"45–54","55+"))))</f>
        <v>25–34</v>
      </c>
      <c r="H895" t="s">
        <v>25</v>
      </c>
      <c r="I895" t="s">
        <v>56</v>
      </c>
      <c r="J895" t="s">
        <v>19</v>
      </c>
      <c r="K895" s="1">
        <v>40757</v>
      </c>
      <c r="M895" s="1" t="str">
        <f>IF(ISBLANK(Data[[#This Row],[EndDate]]),"Active","InActive")</f>
        <v>Active</v>
      </c>
      <c r="N895" t="s">
        <v>57</v>
      </c>
      <c r="O895" t="s">
        <v>54</v>
      </c>
      <c r="P895" t="s">
        <v>22</v>
      </c>
      <c r="Q895" s="2">
        <v>13296.5</v>
      </c>
    </row>
    <row r="896" spans="1:17" x14ac:dyDescent="0.2">
      <c r="A896" s="1">
        <v>43070</v>
      </c>
      <c r="B896">
        <v>92282</v>
      </c>
      <c r="C896" t="s">
        <v>79</v>
      </c>
      <c r="D896" t="s">
        <v>41</v>
      </c>
      <c r="E896" t="s">
        <v>62</v>
      </c>
      <c r="F896" s="5">
        <v>29</v>
      </c>
      <c r="G896" t="str">
        <f>IF(Data[[#This Row],[Age]]&lt;25,"Under 25",IF(Data[[#This Row],[Age]]&lt;35,"25–34",IF(Data[[#This Row],[Age]]&lt;45,"35–44",IF(Data[[#This Row],[Age]]&lt;55,"45–54","55+"))))</f>
        <v>25–34</v>
      </c>
      <c r="H896" t="s">
        <v>34</v>
      </c>
      <c r="I896" t="s">
        <v>56</v>
      </c>
      <c r="J896" t="s">
        <v>19</v>
      </c>
      <c r="K896" s="1">
        <v>40148</v>
      </c>
      <c r="M896" s="1" t="str">
        <f>IF(ISBLANK(Data[[#This Row],[EndDate]]),"Active","InActive")</f>
        <v>Active</v>
      </c>
      <c r="N896" t="s">
        <v>57</v>
      </c>
      <c r="O896" t="s">
        <v>54</v>
      </c>
      <c r="P896" t="s">
        <v>32</v>
      </c>
      <c r="Q896" s="2">
        <v>11716</v>
      </c>
    </row>
    <row r="897" spans="1:17" x14ac:dyDescent="0.2">
      <c r="A897" s="1">
        <v>43070</v>
      </c>
      <c r="B897">
        <v>92340</v>
      </c>
      <c r="C897" t="s">
        <v>79</v>
      </c>
      <c r="D897" t="s">
        <v>47</v>
      </c>
      <c r="E897" t="s">
        <v>48</v>
      </c>
      <c r="F897" s="5">
        <v>29</v>
      </c>
      <c r="G897" t="str">
        <f>IF(Data[[#This Row],[Age]]&lt;25,"Under 25",IF(Data[[#This Row],[Age]]&lt;35,"25–34",IF(Data[[#This Row],[Age]]&lt;45,"35–44",IF(Data[[#This Row],[Age]]&lt;55,"45–54","55+"))))</f>
        <v>25–34</v>
      </c>
      <c r="H897" t="s">
        <v>46</v>
      </c>
      <c r="I897" t="s">
        <v>56</v>
      </c>
      <c r="J897" t="s">
        <v>19</v>
      </c>
      <c r="K897" s="1">
        <v>40085</v>
      </c>
      <c r="M897" s="1" t="str">
        <f>IF(ISBLANK(Data[[#This Row],[EndDate]]),"Active","InActive")</f>
        <v>Active</v>
      </c>
      <c r="N897" t="s">
        <v>57</v>
      </c>
      <c r="O897" t="s">
        <v>54</v>
      </c>
      <c r="P897" t="s">
        <v>32</v>
      </c>
      <c r="Q897" s="2">
        <v>9280</v>
      </c>
    </row>
    <row r="898" spans="1:17" x14ac:dyDescent="0.2">
      <c r="A898" s="1">
        <v>43070</v>
      </c>
      <c r="B898">
        <v>95730</v>
      </c>
      <c r="C898" t="s">
        <v>79</v>
      </c>
      <c r="D898" t="s">
        <v>41</v>
      </c>
      <c r="E898" t="s">
        <v>68</v>
      </c>
      <c r="F898" s="5">
        <v>29</v>
      </c>
      <c r="G898" t="str">
        <f>IF(Data[[#This Row],[Age]]&lt;25,"Under 25",IF(Data[[#This Row],[Age]]&lt;35,"25–34",IF(Data[[#This Row],[Age]]&lt;45,"35–44",IF(Data[[#This Row],[Age]]&lt;55,"45–54","55+"))))</f>
        <v>25–34</v>
      </c>
      <c r="H898" t="s">
        <v>31</v>
      </c>
      <c r="I898" t="s">
        <v>56</v>
      </c>
      <c r="J898" t="s">
        <v>19</v>
      </c>
      <c r="K898" s="1">
        <v>39623</v>
      </c>
      <c r="M898" s="1" t="str">
        <f>IF(ISBLANK(Data[[#This Row],[EndDate]]),"Active","InActive")</f>
        <v>Active</v>
      </c>
      <c r="N898" t="s">
        <v>57</v>
      </c>
      <c r="O898" t="s">
        <v>54</v>
      </c>
      <c r="P898" t="s">
        <v>32</v>
      </c>
      <c r="Q898" s="2">
        <v>4814</v>
      </c>
    </row>
    <row r="899" spans="1:17" x14ac:dyDescent="0.2">
      <c r="A899" s="1">
        <v>42705</v>
      </c>
      <c r="B899">
        <v>100558</v>
      </c>
      <c r="C899" t="s">
        <v>80</v>
      </c>
      <c r="D899" t="s">
        <v>15</v>
      </c>
      <c r="E899" t="s">
        <v>58</v>
      </c>
      <c r="F899" s="5">
        <v>29</v>
      </c>
      <c r="G899" t="str">
        <f>IF(Data[[#This Row],[Age]]&lt;25,"Under 25",IF(Data[[#This Row],[Age]]&lt;35,"25–34",IF(Data[[#This Row],[Age]]&lt;45,"35–44",IF(Data[[#This Row],[Age]]&lt;55,"45–54","55+"))))</f>
        <v>25–34</v>
      </c>
      <c r="H899" t="s">
        <v>31</v>
      </c>
      <c r="I899" t="s">
        <v>18</v>
      </c>
      <c r="J899" t="s">
        <v>35</v>
      </c>
      <c r="K899" s="1">
        <v>41242</v>
      </c>
      <c r="M899" s="1" t="str">
        <f>IF(ISBLANK(Data[[#This Row],[EndDate]]),"Active","InActive")</f>
        <v>Active</v>
      </c>
      <c r="N899" t="s">
        <v>20</v>
      </c>
      <c r="O899" t="s">
        <v>54</v>
      </c>
      <c r="P899" t="s">
        <v>22</v>
      </c>
      <c r="Q899" s="2">
        <v>14094</v>
      </c>
    </row>
    <row r="900" spans="1:17" x14ac:dyDescent="0.2">
      <c r="A900" s="1">
        <v>43070</v>
      </c>
      <c r="B900">
        <v>19002</v>
      </c>
      <c r="C900" t="s">
        <v>80</v>
      </c>
      <c r="D900" t="s">
        <v>43</v>
      </c>
      <c r="E900" t="s">
        <v>44</v>
      </c>
      <c r="F900" s="5">
        <v>29</v>
      </c>
      <c r="G900" t="str">
        <f>IF(Data[[#This Row],[Age]]&lt;25,"Under 25",IF(Data[[#This Row],[Age]]&lt;35,"25–34",IF(Data[[#This Row],[Age]]&lt;45,"35–44",IF(Data[[#This Row],[Age]]&lt;55,"45–54","55+"))))</f>
        <v>25–34</v>
      </c>
      <c r="H900" t="s">
        <v>31</v>
      </c>
      <c r="I900" t="s">
        <v>18</v>
      </c>
      <c r="J900" t="s">
        <v>37</v>
      </c>
      <c r="K900" s="1">
        <v>41605</v>
      </c>
      <c r="M900" s="1" t="str">
        <f>IF(ISBLANK(Data[[#This Row],[EndDate]]),"Active","InActive")</f>
        <v>Active</v>
      </c>
      <c r="N900" t="s">
        <v>20</v>
      </c>
      <c r="O900" t="s">
        <v>54</v>
      </c>
      <c r="P900" t="s">
        <v>32</v>
      </c>
      <c r="Q900" s="2">
        <v>12267</v>
      </c>
    </row>
    <row r="901" spans="1:17" x14ac:dyDescent="0.2">
      <c r="A901" s="1">
        <v>42705</v>
      </c>
      <c r="B901">
        <v>53554</v>
      </c>
      <c r="C901" t="s">
        <v>79</v>
      </c>
      <c r="D901" t="s">
        <v>50</v>
      </c>
      <c r="E901" t="s">
        <v>55</v>
      </c>
      <c r="F901" s="5">
        <v>30</v>
      </c>
      <c r="G901" t="str">
        <f>IF(Data[[#This Row],[Age]]&lt;25,"Under 25",IF(Data[[#This Row],[Age]]&lt;35,"25–34",IF(Data[[#This Row],[Age]]&lt;45,"35–44",IF(Data[[#This Row],[Age]]&lt;55,"45–54","55+"))))</f>
        <v>25–34</v>
      </c>
      <c r="H901" t="s">
        <v>25</v>
      </c>
      <c r="I901" t="s">
        <v>56</v>
      </c>
      <c r="J901" t="s">
        <v>35</v>
      </c>
      <c r="K901" s="1">
        <v>38804</v>
      </c>
      <c r="M901" s="1" t="str">
        <f>IF(ISBLANK(Data[[#This Row],[EndDate]]),"Active","InActive")</f>
        <v>Active</v>
      </c>
      <c r="N901" t="s">
        <v>57</v>
      </c>
      <c r="O901" t="s">
        <v>54</v>
      </c>
      <c r="P901" t="s">
        <v>22</v>
      </c>
      <c r="Q901" s="2">
        <v>21930</v>
      </c>
    </row>
    <row r="902" spans="1:17" x14ac:dyDescent="0.2">
      <c r="A902" s="1">
        <v>43070</v>
      </c>
      <c r="B902">
        <v>33240</v>
      </c>
      <c r="C902" t="s">
        <v>79</v>
      </c>
      <c r="D902" t="s">
        <v>27</v>
      </c>
      <c r="E902" t="s">
        <v>72</v>
      </c>
      <c r="F902" s="5">
        <v>30</v>
      </c>
      <c r="G902" t="str">
        <f>IF(Data[[#This Row],[Age]]&lt;25,"Under 25",IF(Data[[#This Row],[Age]]&lt;35,"25–34",IF(Data[[#This Row],[Age]]&lt;45,"35–44",IF(Data[[#This Row],[Age]]&lt;55,"45–54","55+"))))</f>
        <v>25–34</v>
      </c>
      <c r="H902" t="s">
        <v>34</v>
      </c>
      <c r="I902" t="s">
        <v>56</v>
      </c>
      <c r="J902" t="s">
        <v>37</v>
      </c>
      <c r="K902" s="1">
        <v>37433</v>
      </c>
      <c r="M902" s="1" t="str">
        <f>IF(ISBLANK(Data[[#This Row],[EndDate]]),"Active","InActive")</f>
        <v>Active</v>
      </c>
      <c r="N902" t="s">
        <v>57</v>
      </c>
      <c r="O902" t="s">
        <v>54</v>
      </c>
      <c r="P902" t="s">
        <v>32</v>
      </c>
      <c r="Q902" s="2">
        <v>11400</v>
      </c>
    </row>
    <row r="903" spans="1:17" x14ac:dyDescent="0.2">
      <c r="A903" s="1">
        <v>43435</v>
      </c>
      <c r="B903">
        <v>91744</v>
      </c>
      <c r="C903" t="s">
        <v>79</v>
      </c>
      <c r="D903" t="s">
        <v>38</v>
      </c>
      <c r="E903" t="s">
        <v>39</v>
      </c>
      <c r="F903" s="5">
        <v>30</v>
      </c>
      <c r="G903" t="str">
        <f>IF(Data[[#This Row],[Age]]&lt;25,"Under 25",IF(Data[[#This Row],[Age]]&lt;35,"25–34",IF(Data[[#This Row],[Age]]&lt;45,"35–44",IF(Data[[#This Row],[Age]]&lt;55,"45–54","55+"))))</f>
        <v>25–34</v>
      </c>
      <c r="H903" t="s">
        <v>25</v>
      </c>
      <c r="I903" t="s">
        <v>56</v>
      </c>
      <c r="J903" t="s">
        <v>37</v>
      </c>
      <c r="K903" s="1">
        <v>39070</v>
      </c>
      <c r="M903" s="1" t="str">
        <f>IF(ISBLANK(Data[[#This Row],[EndDate]]),"Active","InActive")</f>
        <v>Active</v>
      </c>
      <c r="N903" t="s">
        <v>57</v>
      </c>
      <c r="O903" t="s">
        <v>54</v>
      </c>
      <c r="P903" t="s">
        <v>40</v>
      </c>
      <c r="Q903" s="2">
        <v>5820</v>
      </c>
    </row>
    <row r="904" spans="1:17" x14ac:dyDescent="0.2">
      <c r="A904" s="1">
        <v>43070</v>
      </c>
      <c r="B904">
        <v>20938</v>
      </c>
      <c r="C904" t="s">
        <v>80</v>
      </c>
      <c r="D904" t="s">
        <v>50</v>
      </c>
      <c r="E904" t="s">
        <v>51</v>
      </c>
      <c r="F904" s="5">
        <v>30</v>
      </c>
      <c r="G904" t="str">
        <f>IF(Data[[#This Row],[Age]]&lt;25,"Under 25",IF(Data[[#This Row],[Age]]&lt;35,"25–34",IF(Data[[#This Row],[Age]]&lt;45,"35–44",IF(Data[[#This Row],[Age]]&lt;55,"45–54","55+"))))</f>
        <v>25–34</v>
      </c>
      <c r="H904" t="s">
        <v>34</v>
      </c>
      <c r="I904" t="s">
        <v>18</v>
      </c>
      <c r="J904" t="s">
        <v>26</v>
      </c>
      <c r="K904" s="1">
        <v>41594</v>
      </c>
      <c r="M904" s="1" t="str">
        <f>IF(ISBLANK(Data[[#This Row],[EndDate]]),"Active","InActive")</f>
        <v>Active</v>
      </c>
      <c r="N904" t="s">
        <v>20</v>
      </c>
      <c r="O904" t="s">
        <v>54</v>
      </c>
      <c r="P904" t="s">
        <v>32</v>
      </c>
      <c r="Q904" s="2">
        <v>8280</v>
      </c>
    </row>
    <row r="905" spans="1:17" x14ac:dyDescent="0.2">
      <c r="A905" s="1">
        <v>43070</v>
      </c>
      <c r="B905">
        <v>49376</v>
      </c>
      <c r="C905" t="s">
        <v>79</v>
      </c>
      <c r="D905" t="s">
        <v>41</v>
      </c>
      <c r="E905" t="s">
        <v>62</v>
      </c>
      <c r="F905" s="5">
        <v>30</v>
      </c>
      <c r="G905" t="str">
        <f>IF(Data[[#This Row],[Age]]&lt;25,"Under 25",IF(Data[[#This Row],[Age]]&lt;35,"25–34",IF(Data[[#This Row],[Age]]&lt;45,"35–44",IF(Data[[#This Row],[Age]]&lt;55,"45–54","55+"))))</f>
        <v>25–34</v>
      </c>
      <c r="H905" t="s">
        <v>17</v>
      </c>
      <c r="I905" t="s">
        <v>56</v>
      </c>
      <c r="J905" t="s">
        <v>26</v>
      </c>
      <c r="K905" s="1">
        <v>41283</v>
      </c>
      <c r="M905" s="1" t="str">
        <f>IF(ISBLANK(Data[[#This Row],[EndDate]]),"Active","InActive")</f>
        <v>Active</v>
      </c>
      <c r="N905" t="s">
        <v>57</v>
      </c>
      <c r="O905" t="s">
        <v>54</v>
      </c>
      <c r="P905" t="s">
        <v>32</v>
      </c>
      <c r="Q905" s="2">
        <v>26850</v>
      </c>
    </row>
    <row r="906" spans="1:17" x14ac:dyDescent="0.2">
      <c r="A906" s="1">
        <v>43435</v>
      </c>
      <c r="B906">
        <v>49832</v>
      </c>
      <c r="C906" t="s">
        <v>79</v>
      </c>
      <c r="D906" t="s">
        <v>27</v>
      </c>
      <c r="E906" t="s">
        <v>28</v>
      </c>
      <c r="F906" s="5">
        <v>30</v>
      </c>
      <c r="G906" t="str">
        <f>IF(Data[[#This Row],[Age]]&lt;25,"Under 25",IF(Data[[#This Row],[Age]]&lt;35,"25–34",IF(Data[[#This Row],[Age]]&lt;45,"35–44",IF(Data[[#This Row],[Age]]&lt;55,"45–54","55+"))))</f>
        <v>25–34</v>
      </c>
      <c r="H906" t="s">
        <v>25</v>
      </c>
      <c r="I906" t="s">
        <v>56</v>
      </c>
      <c r="J906" t="s">
        <v>26</v>
      </c>
      <c r="K906" s="1">
        <v>38182</v>
      </c>
      <c r="M906" s="1" t="str">
        <f>IF(ISBLANK(Data[[#This Row],[EndDate]]),"Active","InActive")</f>
        <v>Active</v>
      </c>
      <c r="N906" t="s">
        <v>57</v>
      </c>
      <c r="O906" t="s">
        <v>54</v>
      </c>
      <c r="P906" t="s">
        <v>40</v>
      </c>
      <c r="Q906" s="2">
        <v>28440</v>
      </c>
    </row>
    <row r="907" spans="1:17" x14ac:dyDescent="0.2">
      <c r="A907" s="1">
        <v>43435</v>
      </c>
      <c r="B907">
        <v>50322</v>
      </c>
      <c r="C907" t="s">
        <v>79</v>
      </c>
      <c r="D907" t="s">
        <v>29</v>
      </c>
      <c r="E907" t="s">
        <v>33</v>
      </c>
      <c r="F907" s="5">
        <v>30</v>
      </c>
      <c r="G907" t="str">
        <f>IF(Data[[#This Row],[Age]]&lt;25,"Under 25",IF(Data[[#This Row],[Age]]&lt;35,"25–34",IF(Data[[#This Row],[Age]]&lt;45,"35–44",IF(Data[[#This Row],[Age]]&lt;55,"45–54","55+"))))</f>
        <v>25–34</v>
      </c>
      <c r="H907" t="s">
        <v>17</v>
      </c>
      <c r="I907" t="s">
        <v>56</v>
      </c>
      <c r="J907" t="s">
        <v>26</v>
      </c>
      <c r="K907" s="1">
        <v>39417</v>
      </c>
      <c r="M907" s="1" t="str">
        <f>IF(ISBLANK(Data[[#This Row],[EndDate]]),"Active","InActive")</f>
        <v>Active</v>
      </c>
      <c r="N907" t="s">
        <v>57</v>
      </c>
      <c r="O907" t="s">
        <v>54</v>
      </c>
      <c r="P907" t="s">
        <v>40</v>
      </c>
      <c r="Q907" s="2">
        <v>12720</v>
      </c>
    </row>
    <row r="908" spans="1:17" x14ac:dyDescent="0.2">
      <c r="A908" s="1">
        <v>43435</v>
      </c>
      <c r="B908">
        <v>50336</v>
      </c>
      <c r="C908" t="s">
        <v>79</v>
      </c>
      <c r="D908" t="s">
        <v>38</v>
      </c>
      <c r="E908" t="s">
        <v>45</v>
      </c>
      <c r="F908" s="5">
        <v>30</v>
      </c>
      <c r="G908" t="str">
        <f>IF(Data[[#This Row],[Age]]&lt;25,"Under 25",IF(Data[[#This Row],[Age]]&lt;35,"25–34",IF(Data[[#This Row],[Age]]&lt;45,"35–44",IF(Data[[#This Row],[Age]]&lt;55,"45–54","55+"))))</f>
        <v>25–34</v>
      </c>
      <c r="H908" t="s">
        <v>49</v>
      </c>
      <c r="I908" t="s">
        <v>56</v>
      </c>
      <c r="J908" t="s">
        <v>26</v>
      </c>
      <c r="K908" s="1">
        <v>38610</v>
      </c>
      <c r="M908" s="1" t="str">
        <f>IF(ISBLANK(Data[[#This Row],[EndDate]]),"Active","InActive")</f>
        <v>Active</v>
      </c>
      <c r="N908" t="s">
        <v>57</v>
      </c>
      <c r="O908" t="s">
        <v>54</v>
      </c>
      <c r="P908" t="s">
        <v>40</v>
      </c>
      <c r="Q908" s="2">
        <v>11160</v>
      </c>
    </row>
    <row r="909" spans="1:17" x14ac:dyDescent="0.2">
      <c r="A909" s="1">
        <v>43435</v>
      </c>
      <c r="B909">
        <v>50468</v>
      </c>
      <c r="C909" t="s">
        <v>80</v>
      </c>
      <c r="D909" t="s">
        <v>47</v>
      </c>
      <c r="E909" t="s">
        <v>48</v>
      </c>
      <c r="F909" s="5">
        <v>30</v>
      </c>
      <c r="G909" t="str">
        <f>IF(Data[[#This Row],[Age]]&lt;25,"Under 25",IF(Data[[#This Row],[Age]]&lt;35,"25–34",IF(Data[[#This Row],[Age]]&lt;45,"35–44",IF(Data[[#This Row],[Age]]&lt;55,"45–54","55+"))))</f>
        <v>25–34</v>
      </c>
      <c r="H909" t="s">
        <v>31</v>
      </c>
      <c r="I909" t="s">
        <v>18</v>
      </c>
      <c r="J909" t="s">
        <v>26</v>
      </c>
      <c r="K909" s="1">
        <v>41845</v>
      </c>
      <c r="M909" s="1" t="str">
        <f>IF(ISBLANK(Data[[#This Row],[EndDate]]),"Active","InActive")</f>
        <v>Active</v>
      </c>
      <c r="N909" t="s">
        <v>20</v>
      </c>
      <c r="O909" t="s">
        <v>54</v>
      </c>
      <c r="P909" t="s">
        <v>40</v>
      </c>
      <c r="Q909" s="2">
        <v>3060</v>
      </c>
    </row>
    <row r="910" spans="1:17" x14ac:dyDescent="0.2">
      <c r="A910" s="1">
        <v>43070</v>
      </c>
      <c r="B910">
        <v>33066</v>
      </c>
      <c r="C910" t="s">
        <v>79</v>
      </c>
      <c r="D910" t="s">
        <v>38</v>
      </c>
      <c r="E910" t="s">
        <v>45</v>
      </c>
      <c r="F910" s="5">
        <v>30</v>
      </c>
      <c r="G910" t="str">
        <f>IF(Data[[#This Row],[Age]]&lt;25,"Under 25",IF(Data[[#This Row],[Age]]&lt;35,"25–34",IF(Data[[#This Row],[Age]]&lt;45,"35–44",IF(Data[[#This Row],[Age]]&lt;55,"45–54","55+"))))</f>
        <v>25–34</v>
      </c>
      <c r="H910" t="s">
        <v>34</v>
      </c>
      <c r="I910" t="s">
        <v>18</v>
      </c>
      <c r="J910" t="s">
        <v>35</v>
      </c>
      <c r="K910" s="1">
        <v>40646</v>
      </c>
      <c r="M910" s="1" t="str">
        <f>IF(ISBLANK(Data[[#This Row],[EndDate]]),"Active","InActive")</f>
        <v>Active</v>
      </c>
      <c r="N910" t="s">
        <v>20</v>
      </c>
      <c r="O910" t="s">
        <v>54</v>
      </c>
      <c r="P910" t="s">
        <v>32</v>
      </c>
      <c r="Q910" s="2">
        <v>16560</v>
      </c>
    </row>
    <row r="911" spans="1:17" x14ac:dyDescent="0.2">
      <c r="A911" s="1">
        <v>42705</v>
      </c>
      <c r="B911">
        <v>44062</v>
      </c>
      <c r="C911" t="s">
        <v>80</v>
      </c>
      <c r="D911" t="s">
        <v>41</v>
      </c>
      <c r="E911" t="s">
        <v>42</v>
      </c>
      <c r="F911" s="5">
        <v>30</v>
      </c>
      <c r="G911" t="str">
        <f>IF(Data[[#This Row],[Age]]&lt;25,"Under 25",IF(Data[[#This Row],[Age]]&lt;35,"25–34",IF(Data[[#This Row],[Age]]&lt;45,"35–44",IF(Data[[#This Row],[Age]]&lt;55,"45–54","55+"))))</f>
        <v>25–34</v>
      </c>
      <c r="H911" t="s">
        <v>59</v>
      </c>
      <c r="I911" t="s">
        <v>56</v>
      </c>
      <c r="J911" t="s">
        <v>37</v>
      </c>
      <c r="K911" s="1">
        <v>38941</v>
      </c>
      <c r="M911" s="1" t="str">
        <f>IF(ISBLANK(Data[[#This Row],[EndDate]]),"Active","InActive")</f>
        <v>Active</v>
      </c>
      <c r="N911" t="s">
        <v>57</v>
      </c>
      <c r="O911" t="s">
        <v>54</v>
      </c>
      <c r="P911" t="s">
        <v>22</v>
      </c>
      <c r="Q911" s="2">
        <v>4950</v>
      </c>
    </row>
    <row r="912" spans="1:17" x14ac:dyDescent="0.2">
      <c r="A912" s="1">
        <v>43070</v>
      </c>
      <c r="B912">
        <v>41372</v>
      </c>
      <c r="C912" t="s">
        <v>79</v>
      </c>
      <c r="D912" t="s">
        <v>27</v>
      </c>
      <c r="E912" t="s">
        <v>74</v>
      </c>
      <c r="F912" s="5">
        <v>30</v>
      </c>
      <c r="G912" t="str">
        <f>IF(Data[[#This Row],[Age]]&lt;25,"Under 25",IF(Data[[#This Row],[Age]]&lt;35,"25–34",IF(Data[[#This Row],[Age]]&lt;45,"35–44",IF(Data[[#This Row],[Age]]&lt;55,"45–54","55+"))))</f>
        <v>25–34</v>
      </c>
      <c r="H912" t="s">
        <v>17</v>
      </c>
      <c r="I912" t="s">
        <v>56</v>
      </c>
      <c r="J912" t="s">
        <v>37</v>
      </c>
      <c r="K912" s="1">
        <v>41481</v>
      </c>
      <c r="M912" s="1" t="str">
        <f>IF(ISBLANK(Data[[#This Row],[EndDate]]),"Active","InActive")</f>
        <v>Active</v>
      </c>
      <c r="N912" t="s">
        <v>57</v>
      </c>
      <c r="O912" t="s">
        <v>54</v>
      </c>
      <c r="P912" t="s">
        <v>32</v>
      </c>
      <c r="Q912" s="2">
        <v>26610</v>
      </c>
    </row>
    <row r="913" spans="1:17" x14ac:dyDescent="0.2">
      <c r="A913" s="1">
        <v>42705</v>
      </c>
      <c r="B913">
        <v>103082</v>
      </c>
      <c r="C913" t="s">
        <v>80</v>
      </c>
      <c r="D913" t="s">
        <v>50</v>
      </c>
      <c r="E913" t="s">
        <v>51</v>
      </c>
      <c r="F913" s="5">
        <v>30</v>
      </c>
      <c r="G913" t="str">
        <f>IF(Data[[#This Row],[Age]]&lt;25,"Under 25",IF(Data[[#This Row],[Age]]&lt;35,"25–34",IF(Data[[#This Row],[Age]]&lt;45,"35–44",IF(Data[[#This Row],[Age]]&lt;55,"45–54","55+"))))</f>
        <v>25–34</v>
      </c>
      <c r="H913" t="s">
        <v>46</v>
      </c>
      <c r="I913" t="s">
        <v>18</v>
      </c>
      <c r="J913" t="s">
        <v>37</v>
      </c>
      <c r="K913" s="1">
        <v>40891</v>
      </c>
      <c r="M913" s="1" t="str">
        <f>IF(ISBLANK(Data[[#This Row],[EndDate]]),"Active","InActive")</f>
        <v>Active</v>
      </c>
      <c r="N913" t="s">
        <v>20</v>
      </c>
      <c r="O913" t="s">
        <v>54</v>
      </c>
      <c r="P913" t="s">
        <v>22</v>
      </c>
      <c r="Q913" s="2">
        <v>26820</v>
      </c>
    </row>
    <row r="914" spans="1:17" x14ac:dyDescent="0.2">
      <c r="A914" s="1">
        <v>43070</v>
      </c>
      <c r="B914">
        <v>17754</v>
      </c>
      <c r="C914" t="s">
        <v>80</v>
      </c>
      <c r="D914" t="s">
        <v>41</v>
      </c>
      <c r="E914" t="s">
        <v>62</v>
      </c>
      <c r="F914" s="5">
        <v>30</v>
      </c>
      <c r="G914" t="str">
        <f>IF(Data[[#This Row],[Age]]&lt;25,"Under 25",IF(Data[[#This Row],[Age]]&lt;35,"25–34",IF(Data[[#This Row],[Age]]&lt;45,"35–44",IF(Data[[#This Row],[Age]]&lt;55,"45–54","55+"))))</f>
        <v>25–34</v>
      </c>
      <c r="H914" t="s">
        <v>59</v>
      </c>
      <c r="I914" t="s">
        <v>18</v>
      </c>
      <c r="J914" t="s">
        <v>37</v>
      </c>
      <c r="K914" s="1">
        <v>41501</v>
      </c>
      <c r="M914" s="1" t="str">
        <f>IF(ISBLANK(Data[[#This Row],[EndDate]]),"Active","InActive")</f>
        <v>Active</v>
      </c>
      <c r="N914" t="s">
        <v>20</v>
      </c>
      <c r="O914" t="s">
        <v>54</v>
      </c>
      <c r="P914" t="s">
        <v>32</v>
      </c>
      <c r="Q914" s="2">
        <v>14880</v>
      </c>
    </row>
    <row r="915" spans="1:17" x14ac:dyDescent="0.2">
      <c r="A915" s="1">
        <v>43070</v>
      </c>
      <c r="B915">
        <v>51324</v>
      </c>
      <c r="C915" t="s">
        <v>80</v>
      </c>
      <c r="D915" t="s">
        <v>43</v>
      </c>
      <c r="E915" t="s">
        <v>44</v>
      </c>
      <c r="F915" s="5">
        <v>30</v>
      </c>
      <c r="G915" t="str">
        <f>IF(Data[[#This Row],[Age]]&lt;25,"Under 25",IF(Data[[#This Row],[Age]]&lt;35,"25–34",IF(Data[[#This Row],[Age]]&lt;45,"35–44",IF(Data[[#This Row],[Age]]&lt;55,"45–54","55+"))))</f>
        <v>25–34</v>
      </c>
      <c r="H915" t="s">
        <v>46</v>
      </c>
      <c r="I915" t="s">
        <v>56</v>
      </c>
      <c r="J915" t="s">
        <v>37</v>
      </c>
      <c r="K915" s="1">
        <v>38064</v>
      </c>
      <c r="M915" s="1" t="str">
        <f>IF(ISBLANK(Data[[#This Row],[EndDate]]),"Active","InActive")</f>
        <v>Active</v>
      </c>
      <c r="N915" t="s">
        <v>57</v>
      </c>
      <c r="O915" t="s">
        <v>54</v>
      </c>
      <c r="P915" t="s">
        <v>32</v>
      </c>
      <c r="Q915" s="2">
        <v>19170</v>
      </c>
    </row>
    <row r="916" spans="1:17" x14ac:dyDescent="0.2">
      <c r="A916" s="1">
        <v>43435</v>
      </c>
      <c r="B916">
        <v>52470</v>
      </c>
      <c r="C916" t="s">
        <v>80</v>
      </c>
      <c r="D916" t="s">
        <v>47</v>
      </c>
      <c r="E916" t="s">
        <v>64</v>
      </c>
      <c r="F916" s="5">
        <v>30</v>
      </c>
      <c r="G916" t="str">
        <f>IF(Data[[#This Row],[Age]]&lt;25,"Under 25",IF(Data[[#This Row],[Age]]&lt;35,"25–34",IF(Data[[#This Row],[Age]]&lt;45,"35–44",IF(Data[[#This Row],[Age]]&lt;55,"45–54","55+"))))</f>
        <v>25–34</v>
      </c>
      <c r="H916" t="s">
        <v>34</v>
      </c>
      <c r="I916" t="s">
        <v>56</v>
      </c>
      <c r="J916" t="s">
        <v>37</v>
      </c>
      <c r="K916" s="1">
        <v>41885</v>
      </c>
      <c r="M916" s="1" t="str">
        <f>IF(ISBLANK(Data[[#This Row],[EndDate]]),"Active","InActive")</f>
        <v>Active</v>
      </c>
      <c r="N916" t="s">
        <v>57</v>
      </c>
      <c r="O916" t="s">
        <v>54</v>
      </c>
      <c r="P916" t="s">
        <v>40</v>
      </c>
      <c r="Q916" s="2">
        <v>18690</v>
      </c>
    </row>
    <row r="917" spans="1:17" x14ac:dyDescent="0.2">
      <c r="A917" s="1">
        <v>43435</v>
      </c>
      <c r="B917">
        <v>55578</v>
      </c>
      <c r="C917" t="s">
        <v>80</v>
      </c>
      <c r="D917" t="s">
        <v>52</v>
      </c>
      <c r="E917" t="s">
        <v>67</v>
      </c>
      <c r="F917" s="5">
        <v>30</v>
      </c>
      <c r="G917" t="str">
        <f>IF(Data[[#This Row],[Age]]&lt;25,"Under 25",IF(Data[[#This Row],[Age]]&lt;35,"25–34",IF(Data[[#This Row],[Age]]&lt;45,"35–44",IF(Data[[#This Row],[Age]]&lt;55,"45–54","55+"))))</f>
        <v>25–34</v>
      </c>
      <c r="H917" t="s">
        <v>46</v>
      </c>
      <c r="I917" t="s">
        <v>18</v>
      </c>
      <c r="J917" t="s">
        <v>37</v>
      </c>
      <c r="K917" s="1">
        <v>41220</v>
      </c>
      <c r="M917" s="1" t="str">
        <f>IF(ISBLANK(Data[[#This Row],[EndDate]]),"Active","InActive")</f>
        <v>Active</v>
      </c>
      <c r="N917" t="s">
        <v>20</v>
      </c>
      <c r="O917" t="s">
        <v>54</v>
      </c>
      <c r="P917" t="s">
        <v>40</v>
      </c>
      <c r="Q917" s="2">
        <v>21930</v>
      </c>
    </row>
    <row r="918" spans="1:17" x14ac:dyDescent="0.2">
      <c r="A918" s="1">
        <v>43070</v>
      </c>
      <c r="B918">
        <v>40548</v>
      </c>
      <c r="C918" t="s">
        <v>79</v>
      </c>
      <c r="D918" t="s">
        <v>29</v>
      </c>
      <c r="E918" t="s">
        <v>30</v>
      </c>
      <c r="F918" s="5">
        <v>30</v>
      </c>
      <c r="G918" t="str">
        <f>IF(Data[[#This Row],[Age]]&lt;25,"Under 25",IF(Data[[#This Row],[Age]]&lt;35,"25–34",IF(Data[[#This Row],[Age]]&lt;45,"35–44",IF(Data[[#This Row],[Age]]&lt;55,"45–54","55+"))))</f>
        <v>25–34</v>
      </c>
      <c r="H918" t="s">
        <v>34</v>
      </c>
      <c r="I918" t="s">
        <v>56</v>
      </c>
      <c r="J918" t="s">
        <v>37</v>
      </c>
      <c r="K918" s="1">
        <v>39204</v>
      </c>
      <c r="M918" s="1" t="str">
        <f>IF(ISBLANK(Data[[#This Row],[EndDate]]),"Active","InActive")</f>
        <v>Active</v>
      </c>
      <c r="N918" t="s">
        <v>57</v>
      </c>
      <c r="O918" t="s">
        <v>54</v>
      </c>
      <c r="P918" t="s">
        <v>32</v>
      </c>
      <c r="Q918" s="2">
        <v>21420</v>
      </c>
    </row>
    <row r="919" spans="1:17" x14ac:dyDescent="0.2">
      <c r="A919" s="1">
        <v>43435</v>
      </c>
      <c r="B919">
        <v>55770</v>
      </c>
      <c r="C919" t="s">
        <v>80</v>
      </c>
      <c r="D919" t="s">
        <v>15</v>
      </c>
      <c r="E919" t="s">
        <v>16</v>
      </c>
      <c r="F919" s="5">
        <v>30</v>
      </c>
      <c r="G919" t="str">
        <f>IF(Data[[#This Row],[Age]]&lt;25,"Under 25",IF(Data[[#This Row],[Age]]&lt;35,"25–34",IF(Data[[#This Row],[Age]]&lt;45,"35–44",IF(Data[[#This Row],[Age]]&lt;55,"45–54","55+"))))</f>
        <v>25–34</v>
      </c>
      <c r="H919" t="s">
        <v>34</v>
      </c>
      <c r="I919" t="s">
        <v>18</v>
      </c>
      <c r="J919" t="s">
        <v>37</v>
      </c>
      <c r="K919" s="1">
        <v>36749</v>
      </c>
      <c r="M919" s="1" t="str">
        <f>IF(ISBLANK(Data[[#This Row],[EndDate]]),"Active","InActive")</f>
        <v>Active</v>
      </c>
      <c r="N919" t="s">
        <v>20</v>
      </c>
      <c r="O919" t="s">
        <v>54</v>
      </c>
      <c r="P919" t="s">
        <v>40</v>
      </c>
      <c r="Q919" s="2">
        <v>21060</v>
      </c>
    </row>
    <row r="920" spans="1:17" x14ac:dyDescent="0.2">
      <c r="A920" s="1">
        <v>42705</v>
      </c>
      <c r="B920">
        <v>49416</v>
      </c>
      <c r="C920" t="s">
        <v>80</v>
      </c>
      <c r="D920" t="s">
        <v>47</v>
      </c>
      <c r="E920" t="s">
        <v>73</v>
      </c>
      <c r="F920" s="5">
        <v>30</v>
      </c>
      <c r="G920" t="str">
        <f>IF(Data[[#This Row],[Age]]&lt;25,"Under 25",IF(Data[[#This Row],[Age]]&lt;35,"25–34",IF(Data[[#This Row],[Age]]&lt;45,"35–44",IF(Data[[#This Row],[Age]]&lt;55,"45–54","55+"))))</f>
        <v>25–34</v>
      </c>
      <c r="H920" t="s">
        <v>34</v>
      </c>
      <c r="I920" t="s">
        <v>18</v>
      </c>
      <c r="J920" t="s">
        <v>35</v>
      </c>
      <c r="K920" s="1">
        <v>40849</v>
      </c>
      <c r="M920" s="1" t="str">
        <f>IF(ISBLANK(Data[[#This Row],[EndDate]]),"Active","InActive")</f>
        <v>Active</v>
      </c>
      <c r="N920" t="s">
        <v>20</v>
      </c>
      <c r="O920" t="s">
        <v>54</v>
      </c>
      <c r="P920" t="s">
        <v>22</v>
      </c>
      <c r="Q920" s="2">
        <v>13170</v>
      </c>
    </row>
    <row r="921" spans="1:17" x14ac:dyDescent="0.2">
      <c r="A921" s="1">
        <v>42705</v>
      </c>
      <c r="B921">
        <v>50304</v>
      </c>
      <c r="C921" t="s">
        <v>79</v>
      </c>
      <c r="D921" t="s">
        <v>50</v>
      </c>
      <c r="E921" t="s">
        <v>51</v>
      </c>
      <c r="F921" s="5">
        <v>30</v>
      </c>
      <c r="G921" t="str">
        <f>IF(Data[[#This Row],[Age]]&lt;25,"Under 25",IF(Data[[#This Row],[Age]]&lt;35,"25–34",IF(Data[[#This Row],[Age]]&lt;45,"35–44",IF(Data[[#This Row],[Age]]&lt;55,"45–54","55+"))))</f>
        <v>25–34</v>
      </c>
      <c r="H921" t="s">
        <v>25</v>
      </c>
      <c r="I921" t="s">
        <v>56</v>
      </c>
      <c r="J921" t="s">
        <v>35</v>
      </c>
      <c r="K921" s="1">
        <v>40017</v>
      </c>
      <c r="M921" s="1" t="str">
        <f>IF(ISBLANK(Data[[#This Row],[EndDate]]),"Active","InActive")</f>
        <v>Active</v>
      </c>
      <c r="N921" t="s">
        <v>57</v>
      </c>
      <c r="O921" t="s">
        <v>54</v>
      </c>
      <c r="P921" t="s">
        <v>22</v>
      </c>
      <c r="Q921" s="2">
        <v>6270</v>
      </c>
    </row>
    <row r="922" spans="1:17" x14ac:dyDescent="0.2">
      <c r="A922" s="1">
        <v>43070</v>
      </c>
      <c r="B922">
        <v>52764</v>
      </c>
      <c r="C922" t="s">
        <v>80</v>
      </c>
      <c r="D922" t="s">
        <v>23</v>
      </c>
      <c r="E922" t="s">
        <v>71</v>
      </c>
      <c r="F922" s="5">
        <v>30</v>
      </c>
      <c r="G922" t="str">
        <f>IF(Data[[#This Row],[Age]]&lt;25,"Under 25",IF(Data[[#This Row],[Age]]&lt;35,"25–34",IF(Data[[#This Row],[Age]]&lt;45,"35–44",IF(Data[[#This Row],[Age]]&lt;55,"45–54","55+"))))</f>
        <v>25–34</v>
      </c>
      <c r="H922" t="s">
        <v>25</v>
      </c>
      <c r="I922" t="s">
        <v>56</v>
      </c>
      <c r="J922" t="s">
        <v>35</v>
      </c>
      <c r="K922" s="1">
        <v>40274</v>
      </c>
      <c r="M922" s="1" t="str">
        <f>IF(ISBLANK(Data[[#This Row],[EndDate]]),"Active","InActive")</f>
        <v>Active</v>
      </c>
      <c r="N922" t="s">
        <v>57</v>
      </c>
      <c r="O922" t="s">
        <v>54</v>
      </c>
      <c r="P922" t="s">
        <v>32</v>
      </c>
      <c r="Q922" s="2">
        <v>4350</v>
      </c>
    </row>
    <row r="923" spans="1:17" x14ac:dyDescent="0.2">
      <c r="A923" s="1">
        <v>43435</v>
      </c>
      <c r="B923">
        <v>92240</v>
      </c>
      <c r="C923" t="s">
        <v>80</v>
      </c>
      <c r="D923" t="s">
        <v>41</v>
      </c>
      <c r="E923" t="s">
        <v>62</v>
      </c>
      <c r="F923" s="5">
        <v>30</v>
      </c>
      <c r="G923" t="str">
        <f>IF(Data[[#This Row],[Age]]&lt;25,"Under 25",IF(Data[[#This Row],[Age]]&lt;35,"25–34",IF(Data[[#This Row],[Age]]&lt;45,"35–44",IF(Data[[#This Row],[Age]]&lt;55,"45–54","55+"))))</f>
        <v>25–34</v>
      </c>
      <c r="H923" t="s">
        <v>31</v>
      </c>
      <c r="I923" t="s">
        <v>18</v>
      </c>
      <c r="J923" t="s">
        <v>19</v>
      </c>
      <c r="K923" s="1">
        <v>39575</v>
      </c>
      <c r="M923" s="1" t="str">
        <f>IF(ISBLANK(Data[[#This Row],[EndDate]]),"Active","InActive")</f>
        <v>Active</v>
      </c>
      <c r="N923" t="s">
        <v>20</v>
      </c>
      <c r="O923" t="s">
        <v>54</v>
      </c>
      <c r="P923" t="s">
        <v>40</v>
      </c>
      <c r="Q923" s="2">
        <v>14670</v>
      </c>
    </row>
    <row r="924" spans="1:17" x14ac:dyDescent="0.2">
      <c r="A924" s="1">
        <v>42705</v>
      </c>
      <c r="B924">
        <v>92484</v>
      </c>
      <c r="C924" t="s">
        <v>79</v>
      </c>
      <c r="D924" t="s">
        <v>50</v>
      </c>
      <c r="E924" t="s">
        <v>55</v>
      </c>
      <c r="F924" s="5">
        <v>30</v>
      </c>
      <c r="G924" t="str">
        <f>IF(Data[[#This Row],[Age]]&lt;25,"Under 25",IF(Data[[#This Row],[Age]]&lt;35,"25–34",IF(Data[[#This Row],[Age]]&lt;45,"35–44",IF(Data[[#This Row],[Age]]&lt;55,"45–54","55+"))))</f>
        <v>25–34</v>
      </c>
      <c r="H924" t="s">
        <v>59</v>
      </c>
      <c r="I924" t="s">
        <v>56</v>
      </c>
      <c r="J924" t="s">
        <v>19</v>
      </c>
      <c r="K924" s="1">
        <v>40661</v>
      </c>
      <c r="M924" s="1" t="str">
        <f>IF(ISBLANK(Data[[#This Row],[EndDate]]),"Active","InActive")</f>
        <v>Active</v>
      </c>
      <c r="N924" t="s">
        <v>57</v>
      </c>
      <c r="O924" t="s">
        <v>54</v>
      </c>
      <c r="P924" t="s">
        <v>22</v>
      </c>
      <c r="Q924" s="2">
        <v>6120</v>
      </c>
    </row>
    <row r="925" spans="1:17" x14ac:dyDescent="0.2">
      <c r="A925" s="1">
        <v>42705</v>
      </c>
      <c r="B925">
        <v>95752</v>
      </c>
      <c r="C925" t="s">
        <v>79</v>
      </c>
      <c r="D925" t="s">
        <v>27</v>
      </c>
      <c r="E925" t="s">
        <v>72</v>
      </c>
      <c r="F925" s="5">
        <v>30</v>
      </c>
      <c r="G925" t="str">
        <f>IF(Data[[#This Row],[Age]]&lt;25,"Under 25",IF(Data[[#This Row],[Age]]&lt;35,"25–34",IF(Data[[#This Row],[Age]]&lt;45,"35–44",IF(Data[[#This Row],[Age]]&lt;55,"45–54","55+"))))</f>
        <v>25–34</v>
      </c>
      <c r="H925" t="s">
        <v>31</v>
      </c>
      <c r="I925" t="s">
        <v>56</v>
      </c>
      <c r="J925" t="s">
        <v>19</v>
      </c>
      <c r="K925" s="1">
        <v>39052</v>
      </c>
      <c r="M925" s="1" t="str">
        <f>IF(ISBLANK(Data[[#This Row],[EndDate]]),"Active","InActive")</f>
        <v>Active</v>
      </c>
      <c r="N925" t="s">
        <v>57</v>
      </c>
      <c r="O925" t="s">
        <v>54</v>
      </c>
      <c r="P925" t="s">
        <v>22</v>
      </c>
      <c r="Q925" s="2">
        <v>9750</v>
      </c>
    </row>
    <row r="926" spans="1:17" x14ac:dyDescent="0.2">
      <c r="A926" s="1">
        <v>42705</v>
      </c>
      <c r="B926">
        <v>98080</v>
      </c>
      <c r="C926" t="s">
        <v>79</v>
      </c>
      <c r="D926" t="s">
        <v>43</v>
      </c>
      <c r="E926" t="s">
        <v>44</v>
      </c>
      <c r="F926" s="5">
        <v>30</v>
      </c>
      <c r="G926" t="str">
        <f>IF(Data[[#This Row],[Age]]&lt;25,"Under 25",IF(Data[[#This Row],[Age]]&lt;35,"25–34",IF(Data[[#This Row],[Age]]&lt;45,"35–44",IF(Data[[#This Row],[Age]]&lt;55,"45–54","55+"))))</f>
        <v>25–34</v>
      </c>
      <c r="H926" t="s">
        <v>49</v>
      </c>
      <c r="I926" t="s">
        <v>56</v>
      </c>
      <c r="J926" t="s">
        <v>19</v>
      </c>
      <c r="K926" s="1">
        <v>37173</v>
      </c>
      <c r="M926" s="1" t="str">
        <f>IF(ISBLANK(Data[[#This Row],[EndDate]]),"Active","InActive")</f>
        <v>Active</v>
      </c>
      <c r="N926" t="s">
        <v>57</v>
      </c>
      <c r="O926" t="s">
        <v>54</v>
      </c>
      <c r="P926" t="s">
        <v>22</v>
      </c>
      <c r="Q926" s="2">
        <v>17190</v>
      </c>
    </row>
    <row r="927" spans="1:17" x14ac:dyDescent="0.2">
      <c r="A927" s="1">
        <v>42705</v>
      </c>
      <c r="B927">
        <v>98432</v>
      </c>
      <c r="C927" t="s">
        <v>79</v>
      </c>
      <c r="D927" t="s">
        <v>50</v>
      </c>
      <c r="E927" t="s">
        <v>55</v>
      </c>
      <c r="F927" s="5">
        <v>30</v>
      </c>
      <c r="G927" t="str">
        <f>IF(Data[[#This Row],[Age]]&lt;25,"Under 25",IF(Data[[#This Row],[Age]]&lt;35,"25–34",IF(Data[[#This Row],[Age]]&lt;45,"35–44",IF(Data[[#This Row],[Age]]&lt;55,"45–54","55+"))))</f>
        <v>25–34</v>
      </c>
      <c r="H927" t="s">
        <v>34</v>
      </c>
      <c r="I927" t="s">
        <v>56</v>
      </c>
      <c r="J927" t="s">
        <v>19</v>
      </c>
      <c r="K927" s="1">
        <v>38447</v>
      </c>
      <c r="M927" s="1" t="str">
        <f>IF(ISBLANK(Data[[#This Row],[EndDate]]),"Active","InActive")</f>
        <v>Active</v>
      </c>
      <c r="N927" t="s">
        <v>57</v>
      </c>
      <c r="O927" t="s">
        <v>54</v>
      </c>
      <c r="P927" t="s">
        <v>22</v>
      </c>
      <c r="Q927" s="2">
        <v>11490</v>
      </c>
    </row>
    <row r="928" spans="1:17" x14ac:dyDescent="0.2">
      <c r="A928" s="1">
        <v>43070</v>
      </c>
      <c r="B928">
        <v>92292</v>
      </c>
      <c r="C928" t="s">
        <v>79</v>
      </c>
      <c r="D928" t="s">
        <v>38</v>
      </c>
      <c r="E928" t="s">
        <v>45</v>
      </c>
      <c r="F928" s="5">
        <v>30</v>
      </c>
      <c r="G928" t="str">
        <f>IF(Data[[#This Row],[Age]]&lt;25,"Under 25",IF(Data[[#This Row],[Age]]&lt;35,"25–34",IF(Data[[#This Row],[Age]]&lt;45,"35–44",IF(Data[[#This Row],[Age]]&lt;55,"45–54","55+"))))</f>
        <v>25–34</v>
      </c>
      <c r="H928" t="s">
        <v>25</v>
      </c>
      <c r="I928" t="s">
        <v>56</v>
      </c>
      <c r="J928" t="s">
        <v>19</v>
      </c>
      <c r="K928" s="1">
        <v>40757</v>
      </c>
      <c r="M928" s="1" t="str">
        <f>IF(ISBLANK(Data[[#This Row],[EndDate]]),"Active","InActive")</f>
        <v>Active</v>
      </c>
      <c r="N928" t="s">
        <v>57</v>
      </c>
      <c r="O928" t="s">
        <v>54</v>
      </c>
      <c r="P928" t="s">
        <v>32</v>
      </c>
      <c r="Q928" s="2">
        <v>8610</v>
      </c>
    </row>
    <row r="929" spans="1:17" x14ac:dyDescent="0.2">
      <c r="A929" s="1">
        <v>43070</v>
      </c>
      <c r="B929">
        <v>92404</v>
      </c>
      <c r="C929" t="s">
        <v>79</v>
      </c>
      <c r="D929" t="s">
        <v>38</v>
      </c>
      <c r="E929" t="s">
        <v>39</v>
      </c>
      <c r="F929" s="5">
        <v>30</v>
      </c>
      <c r="G929" t="str">
        <f>IF(Data[[#This Row],[Age]]&lt;25,"Under 25",IF(Data[[#This Row],[Age]]&lt;35,"25–34",IF(Data[[#This Row],[Age]]&lt;45,"35–44",IF(Data[[#This Row],[Age]]&lt;55,"45–54","55+"))))</f>
        <v>25–34</v>
      </c>
      <c r="H929" t="s">
        <v>31</v>
      </c>
      <c r="I929" t="s">
        <v>56</v>
      </c>
      <c r="J929" t="s">
        <v>19</v>
      </c>
      <c r="K929" s="1">
        <v>41523</v>
      </c>
      <c r="M929" s="1" t="str">
        <f>IF(ISBLANK(Data[[#This Row],[EndDate]]),"Active","InActive")</f>
        <v>Active</v>
      </c>
      <c r="N929" t="s">
        <v>57</v>
      </c>
      <c r="O929" t="s">
        <v>54</v>
      </c>
      <c r="P929" t="s">
        <v>32</v>
      </c>
      <c r="Q929" s="2">
        <v>28350</v>
      </c>
    </row>
    <row r="930" spans="1:17" x14ac:dyDescent="0.2">
      <c r="A930" s="1">
        <v>43435</v>
      </c>
      <c r="B930">
        <v>92282</v>
      </c>
      <c r="C930" t="s">
        <v>79</v>
      </c>
      <c r="D930" t="s">
        <v>41</v>
      </c>
      <c r="E930" t="s">
        <v>62</v>
      </c>
      <c r="F930" s="5">
        <v>30</v>
      </c>
      <c r="G930" t="str">
        <f>IF(Data[[#This Row],[Age]]&lt;25,"Under 25",IF(Data[[#This Row],[Age]]&lt;35,"25–34",IF(Data[[#This Row],[Age]]&lt;45,"35–44",IF(Data[[#This Row],[Age]]&lt;55,"45–54","55+"))))</f>
        <v>25–34</v>
      </c>
      <c r="H930" t="s">
        <v>34</v>
      </c>
      <c r="I930" t="s">
        <v>56</v>
      </c>
      <c r="J930" t="s">
        <v>19</v>
      </c>
      <c r="K930" s="1">
        <v>40148</v>
      </c>
      <c r="M930" s="1" t="str">
        <f>IF(ISBLANK(Data[[#This Row],[EndDate]]),"Active","InActive")</f>
        <v>Active</v>
      </c>
      <c r="N930" t="s">
        <v>57</v>
      </c>
      <c r="O930" t="s">
        <v>54</v>
      </c>
      <c r="P930" t="s">
        <v>40</v>
      </c>
      <c r="Q930" s="2">
        <v>16110</v>
      </c>
    </row>
    <row r="931" spans="1:17" x14ac:dyDescent="0.2">
      <c r="A931" s="1">
        <v>43435</v>
      </c>
      <c r="B931">
        <v>92340</v>
      </c>
      <c r="C931" t="s">
        <v>79</v>
      </c>
      <c r="D931" t="s">
        <v>47</v>
      </c>
      <c r="E931" t="s">
        <v>48</v>
      </c>
      <c r="F931" s="5">
        <v>30</v>
      </c>
      <c r="G931" t="str">
        <f>IF(Data[[#This Row],[Age]]&lt;25,"Under 25",IF(Data[[#This Row],[Age]]&lt;35,"25–34",IF(Data[[#This Row],[Age]]&lt;45,"35–44",IF(Data[[#This Row],[Age]]&lt;55,"45–54","55+"))))</f>
        <v>25–34</v>
      </c>
      <c r="H931" t="s">
        <v>46</v>
      </c>
      <c r="I931" t="s">
        <v>56</v>
      </c>
      <c r="J931" t="s">
        <v>19</v>
      </c>
      <c r="K931" s="1">
        <v>40085</v>
      </c>
      <c r="M931" s="1" t="str">
        <f>IF(ISBLANK(Data[[#This Row],[EndDate]]),"Active","InActive")</f>
        <v>Active</v>
      </c>
      <c r="N931" t="s">
        <v>57</v>
      </c>
      <c r="O931" t="s">
        <v>54</v>
      </c>
      <c r="P931" t="s">
        <v>40</v>
      </c>
      <c r="Q931" s="2">
        <v>5880</v>
      </c>
    </row>
    <row r="932" spans="1:17" x14ac:dyDescent="0.2">
      <c r="A932" s="1">
        <v>43435</v>
      </c>
      <c r="B932">
        <v>92456</v>
      </c>
      <c r="C932" t="s">
        <v>79</v>
      </c>
      <c r="D932" t="s">
        <v>29</v>
      </c>
      <c r="E932" t="s">
        <v>30</v>
      </c>
      <c r="F932" s="5">
        <v>30</v>
      </c>
      <c r="G932" t="str">
        <f>IF(Data[[#This Row],[Age]]&lt;25,"Under 25",IF(Data[[#This Row],[Age]]&lt;35,"25–34",IF(Data[[#This Row],[Age]]&lt;45,"35–44",IF(Data[[#This Row],[Age]]&lt;55,"45–54","55+"))))</f>
        <v>25–34</v>
      </c>
      <c r="H932" t="s">
        <v>46</v>
      </c>
      <c r="I932" t="s">
        <v>56</v>
      </c>
      <c r="J932" t="s">
        <v>19</v>
      </c>
      <c r="K932" s="1">
        <v>41947</v>
      </c>
      <c r="M932" s="1" t="str">
        <f>IF(ISBLANK(Data[[#This Row],[EndDate]]),"Active","InActive")</f>
        <v>Active</v>
      </c>
      <c r="N932" t="s">
        <v>57</v>
      </c>
      <c r="O932" t="s">
        <v>54</v>
      </c>
      <c r="P932" t="s">
        <v>40</v>
      </c>
      <c r="Q932" s="2">
        <v>3270</v>
      </c>
    </row>
    <row r="933" spans="1:17" x14ac:dyDescent="0.2">
      <c r="A933" s="1">
        <v>43435</v>
      </c>
      <c r="B933">
        <v>95730</v>
      </c>
      <c r="C933" t="s">
        <v>79</v>
      </c>
      <c r="D933" t="s">
        <v>41</v>
      </c>
      <c r="E933" t="s">
        <v>68</v>
      </c>
      <c r="F933" s="5">
        <v>30</v>
      </c>
      <c r="G933" t="str">
        <f>IF(Data[[#This Row],[Age]]&lt;25,"Under 25",IF(Data[[#This Row],[Age]]&lt;35,"25–34",IF(Data[[#This Row],[Age]]&lt;45,"35–44",IF(Data[[#This Row],[Age]]&lt;55,"45–54","55+"))))</f>
        <v>25–34</v>
      </c>
      <c r="H933" t="s">
        <v>31</v>
      </c>
      <c r="I933" t="s">
        <v>56</v>
      </c>
      <c r="J933" t="s">
        <v>19</v>
      </c>
      <c r="K933" s="1">
        <v>39623</v>
      </c>
      <c r="M933" s="1" t="str">
        <f>IF(ISBLANK(Data[[#This Row],[EndDate]]),"Active","InActive")</f>
        <v>Active</v>
      </c>
      <c r="N933" t="s">
        <v>57</v>
      </c>
      <c r="O933" t="s">
        <v>54</v>
      </c>
      <c r="P933" t="s">
        <v>40</v>
      </c>
      <c r="Q933" s="2">
        <v>14940</v>
      </c>
    </row>
    <row r="934" spans="1:17" x14ac:dyDescent="0.2">
      <c r="A934" s="1">
        <v>42705</v>
      </c>
      <c r="B934">
        <v>33278</v>
      </c>
      <c r="C934" t="s">
        <v>79</v>
      </c>
      <c r="D934" t="s">
        <v>43</v>
      </c>
      <c r="E934" t="s">
        <v>60</v>
      </c>
      <c r="F934" s="5">
        <v>31</v>
      </c>
      <c r="G934" t="str">
        <f>IF(Data[[#This Row],[Age]]&lt;25,"Under 25",IF(Data[[#This Row],[Age]]&lt;35,"25–34",IF(Data[[#This Row],[Age]]&lt;45,"35–44",IF(Data[[#This Row],[Age]]&lt;55,"45–54","55+"))))</f>
        <v>25–34</v>
      </c>
      <c r="H934" t="s">
        <v>34</v>
      </c>
      <c r="I934" t="s">
        <v>56</v>
      </c>
      <c r="J934" t="s">
        <v>37</v>
      </c>
      <c r="K934" s="1">
        <v>40815</v>
      </c>
      <c r="M934" s="1" t="str">
        <f>IF(ISBLANK(Data[[#This Row],[EndDate]]),"Active","InActive")</f>
        <v>Active</v>
      </c>
      <c r="N934" t="s">
        <v>57</v>
      </c>
      <c r="O934" t="s">
        <v>75</v>
      </c>
      <c r="P934" t="s">
        <v>22</v>
      </c>
      <c r="Q934" s="2">
        <v>17422</v>
      </c>
    </row>
    <row r="935" spans="1:17" x14ac:dyDescent="0.2">
      <c r="A935" s="1">
        <v>43070</v>
      </c>
      <c r="B935">
        <v>53554</v>
      </c>
      <c r="C935" t="s">
        <v>79</v>
      </c>
      <c r="D935" t="s">
        <v>50</v>
      </c>
      <c r="E935" t="s">
        <v>55</v>
      </c>
      <c r="F935" s="5">
        <v>31</v>
      </c>
      <c r="G935" t="str">
        <f>IF(Data[[#This Row],[Age]]&lt;25,"Under 25",IF(Data[[#This Row],[Age]]&lt;35,"25–34",IF(Data[[#This Row],[Age]]&lt;45,"35–44",IF(Data[[#This Row],[Age]]&lt;55,"45–54","55+"))))</f>
        <v>25–34</v>
      </c>
      <c r="H935" t="s">
        <v>25</v>
      </c>
      <c r="I935" t="s">
        <v>56</v>
      </c>
      <c r="J935" t="s">
        <v>35</v>
      </c>
      <c r="K935" s="1">
        <v>38804</v>
      </c>
      <c r="M935" s="1" t="str">
        <f>IF(ISBLANK(Data[[#This Row],[EndDate]]),"Active","InActive")</f>
        <v>Active</v>
      </c>
      <c r="N935" t="s">
        <v>57</v>
      </c>
      <c r="O935" t="s">
        <v>75</v>
      </c>
      <c r="P935" t="s">
        <v>32</v>
      </c>
      <c r="Q935" s="2">
        <v>3596</v>
      </c>
    </row>
    <row r="936" spans="1:17" x14ac:dyDescent="0.2">
      <c r="A936" s="1">
        <v>43435</v>
      </c>
      <c r="B936">
        <v>54468</v>
      </c>
      <c r="C936" t="s">
        <v>79</v>
      </c>
      <c r="D936" t="s">
        <v>50</v>
      </c>
      <c r="E936" t="s">
        <v>55</v>
      </c>
      <c r="F936" s="5">
        <v>31</v>
      </c>
      <c r="G936" t="str">
        <f>IF(Data[[#This Row],[Age]]&lt;25,"Under 25",IF(Data[[#This Row],[Age]]&lt;35,"25–34",IF(Data[[#This Row],[Age]]&lt;45,"35–44",IF(Data[[#This Row],[Age]]&lt;55,"45–54","55+"))))</f>
        <v>25–34</v>
      </c>
      <c r="H936" t="s">
        <v>46</v>
      </c>
      <c r="I936" t="s">
        <v>56</v>
      </c>
      <c r="J936" t="s">
        <v>26</v>
      </c>
      <c r="K936" s="1">
        <v>41941</v>
      </c>
      <c r="M936" s="1" t="str">
        <f>IF(ISBLANK(Data[[#This Row],[EndDate]]),"Active","InActive")</f>
        <v>Active</v>
      </c>
      <c r="N936" t="s">
        <v>57</v>
      </c>
      <c r="O936" t="s">
        <v>75</v>
      </c>
      <c r="P936" t="s">
        <v>40</v>
      </c>
      <c r="Q936" s="2">
        <v>17422</v>
      </c>
    </row>
    <row r="937" spans="1:17" x14ac:dyDescent="0.2">
      <c r="A937" s="1">
        <v>43435</v>
      </c>
      <c r="B937">
        <v>49376</v>
      </c>
      <c r="C937" t="s">
        <v>79</v>
      </c>
      <c r="D937" t="s">
        <v>41</v>
      </c>
      <c r="E937" t="s">
        <v>62</v>
      </c>
      <c r="F937" s="5">
        <v>31</v>
      </c>
      <c r="G937" t="str">
        <f>IF(Data[[#This Row],[Age]]&lt;25,"Under 25",IF(Data[[#This Row],[Age]]&lt;35,"25–34",IF(Data[[#This Row],[Age]]&lt;45,"35–44",IF(Data[[#This Row],[Age]]&lt;55,"45–54","55+"))))</f>
        <v>25–34</v>
      </c>
      <c r="H937" t="s">
        <v>17</v>
      </c>
      <c r="I937" t="s">
        <v>56</v>
      </c>
      <c r="J937" t="s">
        <v>26</v>
      </c>
      <c r="K937" s="1">
        <v>41283</v>
      </c>
      <c r="M937" s="1" t="str">
        <f>IF(ISBLANK(Data[[#This Row],[EndDate]]),"Active","InActive")</f>
        <v>Active</v>
      </c>
      <c r="N937" t="s">
        <v>57</v>
      </c>
      <c r="O937" t="s">
        <v>75</v>
      </c>
      <c r="P937" t="s">
        <v>40</v>
      </c>
      <c r="Q937" s="2">
        <v>27652</v>
      </c>
    </row>
    <row r="938" spans="1:17" x14ac:dyDescent="0.2">
      <c r="A938" s="1">
        <v>43435</v>
      </c>
      <c r="B938">
        <v>41710</v>
      </c>
      <c r="C938" t="s">
        <v>80</v>
      </c>
      <c r="D938" t="s">
        <v>43</v>
      </c>
      <c r="E938" t="s">
        <v>44</v>
      </c>
      <c r="F938" s="5">
        <v>31</v>
      </c>
      <c r="G938" t="str">
        <f>IF(Data[[#This Row],[Age]]&lt;25,"Under 25",IF(Data[[#This Row],[Age]]&lt;35,"25–34",IF(Data[[#This Row],[Age]]&lt;45,"35–44",IF(Data[[#This Row],[Age]]&lt;55,"45–54","55+"))))</f>
        <v>25–34</v>
      </c>
      <c r="H938" t="s">
        <v>34</v>
      </c>
      <c r="I938" t="s">
        <v>18</v>
      </c>
      <c r="J938" t="s">
        <v>35</v>
      </c>
      <c r="K938" s="1">
        <v>41963</v>
      </c>
      <c r="M938" s="1" t="str">
        <f>IF(ISBLANK(Data[[#This Row],[EndDate]]),"Active","InActive")</f>
        <v>Active</v>
      </c>
      <c r="N938" t="s">
        <v>20</v>
      </c>
      <c r="O938" t="s">
        <v>75</v>
      </c>
      <c r="P938" t="s">
        <v>40</v>
      </c>
      <c r="Q938" s="2">
        <v>10881</v>
      </c>
    </row>
    <row r="939" spans="1:17" x14ac:dyDescent="0.2">
      <c r="A939" s="1">
        <v>43070</v>
      </c>
      <c r="B939">
        <v>44062</v>
      </c>
      <c r="C939" t="s">
        <v>80</v>
      </c>
      <c r="D939" t="s">
        <v>41</v>
      </c>
      <c r="E939" t="s">
        <v>42</v>
      </c>
      <c r="F939" s="5">
        <v>31</v>
      </c>
      <c r="G939" t="str">
        <f>IF(Data[[#This Row],[Age]]&lt;25,"Under 25",IF(Data[[#This Row],[Age]]&lt;35,"25–34",IF(Data[[#This Row],[Age]]&lt;45,"35–44",IF(Data[[#This Row],[Age]]&lt;55,"45–54","55+"))))</f>
        <v>25–34</v>
      </c>
      <c r="H939" t="s">
        <v>59</v>
      </c>
      <c r="I939" t="s">
        <v>56</v>
      </c>
      <c r="J939" t="s">
        <v>37</v>
      </c>
      <c r="K939" s="1">
        <v>38941</v>
      </c>
      <c r="M939" s="1" t="str">
        <f>IF(ISBLANK(Data[[#This Row],[EndDate]]),"Active","InActive")</f>
        <v>Active</v>
      </c>
      <c r="N939" t="s">
        <v>57</v>
      </c>
      <c r="O939" t="s">
        <v>75</v>
      </c>
      <c r="P939" t="s">
        <v>32</v>
      </c>
      <c r="Q939" s="2">
        <v>24242</v>
      </c>
    </row>
    <row r="940" spans="1:17" x14ac:dyDescent="0.2">
      <c r="A940" s="1">
        <v>43435</v>
      </c>
      <c r="B940">
        <v>41372</v>
      </c>
      <c r="C940" t="s">
        <v>79</v>
      </c>
      <c r="D940" t="s">
        <v>27</v>
      </c>
      <c r="E940" t="s">
        <v>74</v>
      </c>
      <c r="F940" s="5">
        <v>31</v>
      </c>
      <c r="G940" t="str">
        <f>IF(Data[[#This Row],[Age]]&lt;25,"Under 25",IF(Data[[#This Row],[Age]]&lt;35,"25–34",IF(Data[[#This Row],[Age]]&lt;45,"35–44",IF(Data[[#This Row],[Age]]&lt;55,"45–54","55+"))))</f>
        <v>25–34</v>
      </c>
      <c r="H940" t="s">
        <v>17</v>
      </c>
      <c r="I940" t="s">
        <v>56</v>
      </c>
      <c r="J940" t="s">
        <v>37</v>
      </c>
      <c r="K940" s="1">
        <v>41481</v>
      </c>
      <c r="M940" s="1" t="str">
        <f>IF(ISBLANK(Data[[#This Row],[EndDate]]),"Active","InActive")</f>
        <v>Active</v>
      </c>
      <c r="N940" t="s">
        <v>57</v>
      </c>
      <c r="O940" t="s">
        <v>75</v>
      </c>
      <c r="P940" t="s">
        <v>40</v>
      </c>
      <c r="Q940" s="2">
        <v>8401</v>
      </c>
    </row>
    <row r="941" spans="1:17" x14ac:dyDescent="0.2">
      <c r="A941" s="1">
        <v>43070</v>
      </c>
      <c r="B941">
        <v>30238</v>
      </c>
      <c r="C941" t="s">
        <v>80</v>
      </c>
      <c r="D941" t="s">
        <v>27</v>
      </c>
      <c r="E941" t="s">
        <v>28</v>
      </c>
      <c r="F941" s="5">
        <v>31</v>
      </c>
      <c r="G941" t="str">
        <f>IF(Data[[#This Row],[Age]]&lt;25,"Under 25",IF(Data[[#This Row],[Age]]&lt;35,"25–34",IF(Data[[#This Row],[Age]]&lt;45,"35–44",IF(Data[[#This Row],[Age]]&lt;55,"45–54","55+"))))</f>
        <v>25–34</v>
      </c>
      <c r="H941" t="s">
        <v>46</v>
      </c>
      <c r="I941" t="s">
        <v>18</v>
      </c>
      <c r="J941" t="s">
        <v>37</v>
      </c>
      <c r="K941" s="1">
        <v>41536</v>
      </c>
      <c r="M941" s="1" t="str">
        <f>IF(ISBLANK(Data[[#This Row],[EndDate]]),"Active","InActive")</f>
        <v>Active</v>
      </c>
      <c r="N941" t="s">
        <v>20</v>
      </c>
      <c r="O941" t="s">
        <v>75</v>
      </c>
      <c r="P941" t="s">
        <v>32</v>
      </c>
      <c r="Q941" s="2">
        <v>28675</v>
      </c>
    </row>
    <row r="942" spans="1:17" x14ac:dyDescent="0.2">
      <c r="A942" s="1">
        <v>43435</v>
      </c>
      <c r="B942">
        <v>51324</v>
      </c>
      <c r="C942" t="s">
        <v>80</v>
      </c>
      <c r="D942" t="s">
        <v>43</v>
      </c>
      <c r="E942" t="s">
        <v>44</v>
      </c>
      <c r="F942" s="5">
        <v>31</v>
      </c>
      <c r="G942" t="str">
        <f>IF(Data[[#This Row],[Age]]&lt;25,"Under 25",IF(Data[[#This Row],[Age]]&lt;35,"25–34",IF(Data[[#This Row],[Age]]&lt;45,"35–44",IF(Data[[#This Row],[Age]]&lt;55,"45–54","55+"))))</f>
        <v>25–34</v>
      </c>
      <c r="H942" t="s">
        <v>46</v>
      </c>
      <c r="I942" t="s">
        <v>56</v>
      </c>
      <c r="J942" t="s">
        <v>37</v>
      </c>
      <c r="K942" s="1">
        <v>38064</v>
      </c>
      <c r="M942" s="1" t="str">
        <f>IF(ISBLANK(Data[[#This Row],[EndDate]]),"Active","InActive")</f>
        <v>Active</v>
      </c>
      <c r="N942" t="s">
        <v>57</v>
      </c>
      <c r="O942" t="s">
        <v>75</v>
      </c>
      <c r="P942" t="s">
        <v>40</v>
      </c>
      <c r="Q942" s="2">
        <v>27342</v>
      </c>
    </row>
    <row r="943" spans="1:17" x14ac:dyDescent="0.2">
      <c r="A943" s="1">
        <v>43435</v>
      </c>
      <c r="B943">
        <v>40548</v>
      </c>
      <c r="C943" t="s">
        <v>79</v>
      </c>
      <c r="D943" t="s">
        <v>29</v>
      </c>
      <c r="E943" t="s">
        <v>30</v>
      </c>
      <c r="F943" s="5">
        <v>31</v>
      </c>
      <c r="G943" t="str">
        <f>IF(Data[[#This Row],[Age]]&lt;25,"Under 25",IF(Data[[#This Row],[Age]]&lt;35,"25–34",IF(Data[[#This Row],[Age]]&lt;45,"35–44",IF(Data[[#This Row],[Age]]&lt;55,"45–54","55+"))))</f>
        <v>25–34</v>
      </c>
      <c r="H943" t="s">
        <v>34</v>
      </c>
      <c r="I943" t="s">
        <v>56</v>
      </c>
      <c r="J943" t="s">
        <v>37</v>
      </c>
      <c r="K943" s="1">
        <v>39204</v>
      </c>
      <c r="M943" s="1" t="str">
        <f>IF(ISBLANK(Data[[#This Row],[EndDate]]),"Active","InActive")</f>
        <v>Active</v>
      </c>
      <c r="N943" t="s">
        <v>57</v>
      </c>
      <c r="O943" t="s">
        <v>75</v>
      </c>
      <c r="P943" t="s">
        <v>40</v>
      </c>
      <c r="Q943" s="2">
        <v>26474</v>
      </c>
    </row>
    <row r="944" spans="1:17" x14ac:dyDescent="0.2">
      <c r="A944" s="1">
        <v>42705</v>
      </c>
      <c r="B944">
        <v>50342</v>
      </c>
      <c r="C944" t="s">
        <v>79</v>
      </c>
      <c r="D944" t="s">
        <v>43</v>
      </c>
      <c r="E944" t="s">
        <v>60</v>
      </c>
      <c r="F944" s="5">
        <v>31</v>
      </c>
      <c r="G944" t="str">
        <f>IF(Data[[#This Row],[Age]]&lt;25,"Under 25",IF(Data[[#This Row],[Age]]&lt;35,"25–34",IF(Data[[#This Row],[Age]]&lt;45,"35–44",IF(Data[[#This Row],[Age]]&lt;55,"45–54","55+"))))</f>
        <v>25–34</v>
      </c>
      <c r="H944" t="s">
        <v>59</v>
      </c>
      <c r="I944" t="s">
        <v>56</v>
      </c>
      <c r="J944" t="s">
        <v>35</v>
      </c>
      <c r="K944" s="1">
        <v>39569</v>
      </c>
      <c r="M944" s="1" t="str">
        <f>IF(ISBLANK(Data[[#This Row],[EndDate]]),"Active","InActive")</f>
        <v>Active</v>
      </c>
      <c r="N944" t="s">
        <v>57</v>
      </c>
      <c r="O944" t="s">
        <v>75</v>
      </c>
      <c r="P944" t="s">
        <v>22</v>
      </c>
      <c r="Q944" s="2">
        <v>21669</v>
      </c>
    </row>
    <row r="945" spans="1:17" x14ac:dyDescent="0.2">
      <c r="A945" s="1">
        <v>42705</v>
      </c>
      <c r="B945">
        <v>56292</v>
      </c>
      <c r="C945" t="s">
        <v>79</v>
      </c>
      <c r="D945" t="s">
        <v>23</v>
      </c>
      <c r="E945" t="s">
        <v>65</v>
      </c>
      <c r="F945" s="5">
        <v>31</v>
      </c>
      <c r="G945" t="str">
        <f>IF(Data[[#This Row],[Age]]&lt;25,"Under 25",IF(Data[[#This Row],[Age]]&lt;35,"25–34",IF(Data[[#This Row],[Age]]&lt;45,"35–44",IF(Data[[#This Row],[Age]]&lt;55,"45–54","55+"))))</f>
        <v>25–34</v>
      </c>
      <c r="H945" t="s">
        <v>17</v>
      </c>
      <c r="I945" t="s">
        <v>56</v>
      </c>
      <c r="J945" t="s">
        <v>35</v>
      </c>
      <c r="K945" s="1">
        <v>39427</v>
      </c>
      <c r="M945" s="1" t="str">
        <f>IF(ISBLANK(Data[[#This Row],[EndDate]]),"Active","InActive")</f>
        <v>Active</v>
      </c>
      <c r="N945" t="s">
        <v>57</v>
      </c>
      <c r="O945" t="s">
        <v>75</v>
      </c>
      <c r="P945" t="s">
        <v>22</v>
      </c>
      <c r="Q945" s="2">
        <v>20026</v>
      </c>
    </row>
    <row r="946" spans="1:17" x14ac:dyDescent="0.2">
      <c r="A946" s="1">
        <v>43070</v>
      </c>
      <c r="B946">
        <v>49416</v>
      </c>
      <c r="C946" t="s">
        <v>80</v>
      </c>
      <c r="D946" t="s">
        <v>47</v>
      </c>
      <c r="E946" t="s">
        <v>73</v>
      </c>
      <c r="F946" s="5">
        <v>31</v>
      </c>
      <c r="G946" t="str">
        <f>IF(Data[[#This Row],[Age]]&lt;25,"Under 25",IF(Data[[#This Row],[Age]]&lt;35,"25–34",IF(Data[[#This Row],[Age]]&lt;45,"35–44",IF(Data[[#This Row],[Age]]&lt;55,"45–54","55+"))))</f>
        <v>25–34</v>
      </c>
      <c r="H946" t="s">
        <v>34</v>
      </c>
      <c r="I946" t="s">
        <v>18</v>
      </c>
      <c r="J946" t="s">
        <v>35</v>
      </c>
      <c r="K946" s="1">
        <v>40849</v>
      </c>
      <c r="M946" s="1" t="str">
        <f>IF(ISBLANK(Data[[#This Row],[EndDate]]),"Active","InActive")</f>
        <v>Active</v>
      </c>
      <c r="N946" t="s">
        <v>20</v>
      </c>
      <c r="O946" t="s">
        <v>75</v>
      </c>
      <c r="P946" t="s">
        <v>32</v>
      </c>
      <c r="Q946" s="2">
        <v>22072</v>
      </c>
    </row>
    <row r="947" spans="1:17" x14ac:dyDescent="0.2">
      <c r="A947" s="1">
        <v>43070</v>
      </c>
      <c r="B947">
        <v>50304</v>
      </c>
      <c r="C947" t="s">
        <v>79</v>
      </c>
      <c r="D947" t="s">
        <v>50</v>
      </c>
      <c r="E947" t="s">
        <v>51</v>
      </c>
      <c r="F947" s="5">
        <v>31</v>
      </c>
      <c r="G947" t="str">
        <f>IF(Data[[#This Row],[Age]]&lt;25,"Under 25",IF(Data[[#This Row],[Age]]&lt;35,"25–34",IF(Data[[#This Row],[Age]]&lt;45,"35–44",IF(Data[[#This Row],[Age]]&lt;55,"45–54","55+"))))</f>
        <v>25–34</v>
      </c>
      <c r="H947" t="s">
        <v>25</v>
      </c>
      <c r="I947" t="s">
        <v>56</v>
      </c>
      <c r="J947" t="s">
        <v>35</v>
      </c>
      <c r="K947" s="1">
        <v>40017</v>
      </c>
      <c r="M947" s="1" t="str">
        <f>IF(ISBLANK(Data[[#This Row],[EndDate]]),"Active","InActive")</f>
        <v>Active</v>
      </c>
      <c r="N947" t="s">
        <v>57</v>
      </c>
      <c r="O947" t="s">
        <v>75</v>
      </c>
      <c r="P947" t="s">
        <v>32</v>
      </c>
      <c r="Q947" s="2">
        <v>6076</v>
      </c>
    </row>
    <row r="948" spans="1:17" x14ac:dyDescent="0.2">
      <c r="A948" s="1">
        <v>43435</v>
      </c>
      <c r="B948">
        <v>52764</v>
      </c>
      <c r="C948" t="s">
        <v>80</v>
      </c>
      <c r="D948" t="s">
        <v>23</v>
      </c>
      <c r="E948" t="s">
        <v>71</v>
      </c>
      <c r="F948" s="5">
        <v>31</v>
      </c>
      <c r="G948" t="str">
        <f>IF(Data[[#This Row],[Age]]&lt;25,"Under 25",IF(Data[[#This Row],[Age]]&lt;35,"25–34",IF(Data[[#This Row],[Age]]&lt;45,"35–44",IF(Data[[#This Row],[Age]]&lt;55,"45–54","55+"))))</f>
        <v>25–34</v>
      </c>
      <c r="H948" t="s">
        <v>25</v>
      </c>
      <c r="I948" t="s">
        <v>56</v>
      </c>
      <c r="J948" t="s">
        <v>35</v>
      </c>
      <c r="K948" s="1">
        <v>40274</v>
      </c>
      <c r="M948" s="1" t="str">
        <f>IF(ISBLANK(Data[[#This Row],[EndDate]]),"Active","InActive")</f>
        <v>Active</v>
      </c>
      <c r="N948" t="s">
        <v>57</v>
      </c>
      <c r="O948" t="s">
        <v>75</v>
      </c>
      <c r="P948" t="s">
        <v>40</v>
      </c>
      <c r="Q948" s="2">
        <v>25575</v>
      </c>
    </row>
    <row r="949" spans="1:17" x14ac:dyDescent="0.2">
      <c r="A949" s="1">
        <v>43070</v>
      </c>
      <c r="B949">
        <v>96218</v>
      </c>
      <c r="C949" t="s">
        <v>79</v>
      </c>
      <c r="D949" t="s">
        <v>41</v>
      </c>
      <c r="E949" t="s">
        <v>42</v>
      </c>
      <c r="F949" s="5">
        <v>31</v>
      </c>
      <c r="G949" t="str">
        <f>IF(Data[[#This Row],[Age]]&lt;25,"Under 25",IF(Data[[#This Row],[Age]]&lt;35,"25–34",IF(Data[[#This Row],[Age]]&lt;45,"35–44",IF(Data[[#This Row],[Age]]&lt;55,"45–54","55+"))))</f>
        <v>25–34</v>
      </c>
      <c r="H949" t="s">
        <v>49</v>
      </c>
      <c r="I949" t="s">
        <v>18</v>
      </c>
      <c r="J949" t="s">
        <v>19</v>
      </c>
      <c r="K949" s="1">
        <v>41485</v>
      </c>
      <c r="M949" s="1" t="str">
        <f>IF(ISBLANK(Data[[#This Row],[EndDate]]),"Active","InActive")</f>
        <v>Active</v>
      </c>
      <c r="N949" t="s">
        <v>20</v>
      </c>
      <c r="O949" t="s">
        <v>75</v>
      </c>
      <c r="P949" t="s">
        <v>32</v>
      </c>
      <c r="Q949" s="2">
        <v>23188</v>
      </c>
    </row>
    <row r="950" spans="1:17" x14ac:dyDescent="0.2">
      <c r="A950" s="1">
        <v>42705</v>
      </c>
      <c r="B950">
        <v>106692</v>
      </c>
      <c r="C950" t="s">
        <v>79</v>
      </c>
      <c r="D950" t="s">
        <v>41</v>
      </c>
      <c r="E950" t="s">
        <v>68</v>
      </c>
      <c r="F950" s="5">
        <v>31</v>
      </c>
      <c r="G950" t="str">
        <f>IF(Data[[#This Row],[Age]]&lt;25,"Under 25",IF(Data[[#This Row],[Age]]&lt;35,"25–34",IF(Data[[#This Row],[Age]]&lt;45,"35–44",IF(Data[[#This Row],[Age]]&lt;55,"45–54","55+"))))</f>
        <v>25–34</v>
      </c>
      <c r="H950" t="s">
        <v>46</v>
      </c>
      <c r="I950" t="s">
        <v>56</v>
      </c>
      <c r="J950" t="s">
        <v>19</v>
      </c>
      <c r="K950" s="1">
        <v>40982</v>
      </c>
      <c r="M950" s="1" t="str">
        <f>IF(ISBLANK(Data[[#This Row],[EndDate]]),"Active","InActive")</f>
        <v>Active</v>
      </c>
      <c r="N950" t="s">
        <v>57</v>
      </c>
      <c r="O950" t="s">
        <v>75</v>
      </c>
      <c r="P950" t="s">
        <v>22</v>
      </c>
      <c r="Q950" s="2">
        <v>4402</v>
      </c>
    </row>
    <row r="951" spans="1:17" x14ac:dyDescent="0.2">
      <c r="A951" s="1">
        <v>43070</v>
      </c>
      <c r="B951">
        <v>92484</v>
      </c>
      <c r="C951" t="s">
        <v>79</v>
      </c>
      <c r="D951" t="s">
        <v>50</v>
      </c>
      <c r="E951" t="s">
        <v>55</v>
      </c>
      <c r="F951" s="5">
        <v>31</v>
      </c>
      <c r="G951" t="str">
        <f>IF(Data[[#This Row],[Age]]&lt;25,"Under 25",IF(Data[[#This Row],[Age]]&lt;35,"25–34",IF(Data[[#This Row],[Age]]&lt;45,"35–44",IF(Data[[#This Row],[Age]]&lt;55,"45–54","55+"))))</f>
        <v>25–34</v>
      </c>
      <c r="H951" t="s">
        <v>59</v>
      </c>
      <c r="I951" t="s">
        <v>56</v>
      </c>
      <c r="J951" t="s">
        <v>19</v>
      </c>
      <c r="K951" s="1">
        <v>40661</v>
      </c>
      <c r="M951" s="1" t="str">
        <f>IF(ISBLANK(Data[[#This Row],[EndDate]]),"Active","InActive")</f>
        <v>Active</v>
      </c>
      <c r="N951" t="s">
        <v>57</v>
      </c>
      <c r="O951" t="s">
        <v>75</v>
      </c>
      <c r="P951" t="s">
        <v>32</v>
      </c>
      <c r="Q951" s="2">
        <v>14880</v>
      </c>
    </row>
    <row r="952" spans="1:17" x14ac:dyDescent="0.2">
      <c r="A952" s="1">
        <v>43070</v>
      </c>
      <c r="B952">
        <v>95752</v>
      </c>
      <c r="C952" t="s">
        <v>79</v>
      </c>
      <c r="D952" t="s">
        <v>27</v>
      </c>
      <c r="E952" t="s">
        <v>72</v>
      </c>
      <c r="F952" s="5">
        <v>31</v>
      </c>
      <c r="G952" t="str">
        <f>IF(Data[[#This Row],[Age]]&lt;25,"Under 25",IF(Data[[#This Row],[Age]]&lt;35,"25–34",IF(Data[[#This Row],[Age]]&lt;45,"35–44",IF(Data[[#This Row],[Age]]&lt;55,"45–54","55+"))))</f>
        <v>25–34</v>
      </c>
      <c r="H952" t="s">
        <v>31</v>
      </c>
      <c r="I952" t="s">
        <v>56</v>
      </c>
      <c r="J952" t="s">
        <v>19</v>
      </c>
      <c r="K952" s="1">
        <v>39052</v>
      </c>
      <c r="M952" s="1" t="str">
        <f>IF(ISBLANK(Data[[#This Row],[EndDate]]),"Active","InActive")</f>
        <v>Active</v>
      </c>
      <c r="N952" t="s">
        <v>57</v>
      </c>
      <c r="O952" t="s">
        <v>75</v>
      </c>
      <c r="P952" t="s">
        <v>32</v>
      </c>
      <c r="Q952" s="2">
        <v>9579</v>
      </c>
    </row>
    <row r="953" spans="1:17" x14ac:dyDescent="0.2">
      <c r="A953" s="1">
        <v>43070</v>
      </c>
      <c r="B953">
        <v>98080</v>
      </c>
      <c r="C953" t="s">
        <v>79</v>
      </c>
      <c r="D953" t="s">
        <v>43</v>
      </c>
      <c r="E953" t="s">
        <v>44</v>
      </c>
      <c r="F953" s="5">
        <v>31</v>
      </c>
      <c r="G953" t="str">
        <f>IF(Data[[#This Row],[Age]]&lt;25,"Under 25",IF(Data[[#This Row],[Age]]&lt;35,"25–34",IF(Data[[#This Row],[Age]]&lt;45,"35–44",IF(Data[[#This Row],[Age]]&lt;55,"45–54","55+"))))</f>
        <v>25–34</v>
      </c>
      <c r="H953" t="s">
        <v>49</v>
      </c>
      <c r="I953" t="s">
        <v>56</v>
      </c>
      <c r="J953" t="s">
        <v>19</v>
      </c>
      <c r="K953" s="1">
        <v>37173</v>
      </c>
      <c r="M953" s="1" t="str">
        <f>IF(ISBLANK(Data[[#This Row],[EndDate]]),"Active","InActive")</f>
        <v>Active</v>
      </c>
      <c r="N953" t="s">
        <v>57</v>
      </c>
      <c r="O953" t="s">
        <v>75</v>
      </c>
      <c r="P953" t="s">
        <v>32</v>
      </c>
      <c r="Q953" s="2">
        <v>22103</v>
      </c>
    </row>
    <row r="954" spans="1:17" x14ac:dyDescent="0.2">
      <c r="A954" s="1">
        <v>43070</v>
      </c>
      <c r="B954">
        <v>98432</v>
      </c>
      <c r="C954" t="s">
        <v>79</v>
      </c>
      <c r="D954" t="s">
        <v>50</v>
      </c>
      <c r="E954" t="s">
        <v>55</v>
      </c>
      <c r="F954" s="5">
        <v>31</v>
      </c>
      <c r="G954" t="str">
        <f>IF(Data[[#This Row],[Age]]&lt;25,"Under 25",IF(Data[[#This Row],[Age]]&lt;35,"25–34",IF(Data[[#This Row],[Age]]&lt;45,"35–44",IF(Data[[#This Row],[Age]]&lt;55,"45–54","55+"))))</f>
        <v>25–34</v>
      </c>
      <c r="H954" t="s">
        <v>34</v>
      </c>
      <c r="I954" t="s">
        <v>56</v>
      </c>
      <c r="J954" t="s">
        <v>19</v>
      </c>
      <c r="K954" s="1">
        <v>38447</v>
      </c>
      <c r="M954" s="1" t="str">
        <f>IF(ISBLANK(Data[[#This Row],[EndDate]]),"Active","InActive")</f>
        <v>Active</v>
      </c>
      <c r="N954" t="s">
        <v>57</v>
      </c>
      <c r="O954" t="s">
        <v>75</v>
      </c>
      <c r="P954" t="s">
        <v>32</v>
      </c>
      <c r="Q954" s="2">
        <v>30194</v>
      </c>
    </row>
    <row r="955" spans="1:17" x14ac:dyDescent="0.2">
      <c r="A955" s="1">
        <v>43435</v>
      </c>
      <c r="B955">
        <v>92276</v>
      </c>
      <c r="C955" t="s">
        <v>79</v>
      </c>
      <c r="D955" t="s">
        <v>38</v>
      </c>
      <c r="E955" t="s">
        <v>61</v>
      </c>
      <c r="F955" s="5">
        <v>31</v>
      </c>
      <c r="G955" t="str">
        <f>IF(Data[[#This Row],[Age]]&lt;25,"Under 25",IF(Data[[#This Row],[Age]]&lt;35,"25–34",IF(Data[[#This Row],[Age]]&lt;45,"35–44",IF(Data[[#This Row],[Age]]&lt;55,"45–54","55+"))))</f>
        <v>25–34</v>
      </c>
      <c r="H955" t="s">
        <v>34</v>
      </c>
      <c r="I955" t="s">
        <v>56</v>
      </c>
      <c r="J955" t="s">
        <v>19</v>
      </c>
      <c r="K955" s="1">
        <v>41744</v>
      </c>
      <c r="M955" s="1" t="str">
        <f>IF(ISBLANK(Data[[#This Row],[EndDate]]),"Active","InActive")</f>
        <v>Active</v>
      </c>
      <c r="N955" t="s">
        <v>57</v>
      </c>
      <c r="O955" t="s">
        <v>75</v>
      </c>
      <c r="P955" t="s">
        <v>40</v>
      </c>
      <c r="Q955" s="2">
        <v>14198</v>
      </c>
    </row>
    <row r="956" spans="1:17" x14ac:dyDescent="0.2">
      <c r="A956" s="1">
        <v>43435</v>
      </c>
      <c r="B956">
        <v>92292</v>
      </c>
      <c r="C956" t="s">
        <v>79</v>
      </c>
      <c r="D956" t="s">
        <v>38</v>
      </c>
      <c r="E956" t="s">
        <v>45</v>
      </c>
      <c r="F956" s="5">
        <v>31</v>
      </c>
      <c r="G956" t="str">
        <f>IF(Data[[#This Row],[Age]]&lt;25,"Under 25",IF(Data[[#This Row],[Age]]&lt;35,"25–34",IF(Data[[#This Row],[Age]]&lt;45,"35–44",IF(Data[[#This Row],[Age]]&lt;55,"45–54","55+"))))</f>
        <v>25–34</v>
      </c>
      <c r="H956" t="s">
        <v>25</v>
      </c>
      <c r="I956" t="s">
        <v>56</v>
      </c>
      <c r="J956" t="s">
        <v>19</v>
      </c>
      <c r="K956" s="1">
        <v>40757</v>
      </c>
      <c r="M956" s="1" t="str">
        <f>IF(ISBLANK(Data[[#This Row],[EndDate]]),"Active","InActive")</f>
        <v>Active</v>
      </c>
      <c r="N956" t="s">
        <v>57</v>
      </c>
      <c r="O956" t="s">
        <v>75</v>
      </c>
      <c r="P956" t="s">
        <v>40</v>
      </c>
      <c r="Q956" s="2">
        <v>30845</v>
      </c>
    </row>
    <row r="957" spans="1:17" x14ac:dyDescent="0.2">
      <c r="A957" s="1">
        <v>43435</v>
      </c>
      <c r="B957">
        <v>92404</v>
      </c>
      <c r="C957" t="s">
        <v>79</v>
      </c>
      <c r="D957" t="s">
        <v>38</v>
      </c>
      <c r="E957" t="s">
        <v>39</v>
      </c>
      <c r="F957" s="5">
        <v>31</v>
      </c>
      <c r="G957" t="str">
        <f>IF(Data[[#This Row],[Age]]&lt;25,"Under 25",IF(Data[[#This Row],[Age]]&lt;35,"25–34",IF(Data[[#This Row],[Age]]&lt;45,"35–44",IF(Data[[#This Row],[Age]]&lt;55,"45–54","55+"))))</f>
        <v>25–34</v>
      </c>
      <c r="H957" t="s">
        <v>31</v>
      </c>
      <c r="I957" t="s">
        <v>56</v>
      </c>
      <c r="J957" t="s">
        <v>19</v>
      </c>
      <c r="K957" s="1">
        <v>41523</v>
      </c>
      <c r="M957" s="1" t="str">
        <f>IF(ISBLANK(Data[[#This Row],[EndDate]]),"Active","InActive")</f>
        <v>Active</v>
      </c>
      <c r="N957" t="s">
        <v>57</v>
      </c>
      <c r="O957" t="s">
        <v>75</v>
      </c>
      <c r="P957" t="s">
        <v>40</v>
      </c>
      <c r="Q957" s="2">
        <v>4030</v>
      </c>
    </row>
    <row r="958" spans="1:17" x14ac:dyDescent="0.2">
      <c r="A958" s="1">
        <v>42705</v>
      </c>
      <c r="B958">
        <v>100240</v>
      </c>
      <c r="C958" t="s">
        <v>79</v>
      </c>
      <c r="D958" t="s">
        <v>27</v>
      </c>
      <c r="E958" t="s">
        <v>72</v>
      </c>
      <c r="F958" s="5">
        <v>31</v>
      </c>
      <c r="G958" t="str">
        <f>IF(Data[[#This Row],[Age]]&lt;25,"Under 25",IF(Data[[#This Row],[Age]]&lt;35,"25–34",IF(Data[[#This Row],[Age]]&lt;45,"35–44",IF(Data[[#This Row],[Age]]&lt;55,"45–54","55+"))))</f>
        <v>25–34</v>
      </c>
      <c r="H958" t="s">
        <v>49</v>
      </c>
      <c r="I958" t="s">
        <v>18</v>
      </c>
      <c r="J958" t="s">
        <v>19</v>
      </c>
      <c r="K958" s="1">
        <v>41270</v>
      </c>
      <c r="M958" s="1" t="str">
        <f>IF(ISBLANK(Data[[#This Row],[EndDate]]),"Active","InActive")</f>
        <v>Active</v>
      </c>
      <c r="N958" t="s">
        <v>20</v>
      </c>
      <c r="O958" t="s">
        <v>75</v>
      </c>
      <c r="P958" t="s">
        <v>22</v>
      </c>
      <c r="Q958" s="2">
        <v>5487</v>
      </c>
    </row>
    <row r="959" spans="1:17" x14ac:dyDescent="0.2">
      <c r="A959" s="1">
        <v>42705</v>
      </c>
      <c r="B959">
        <v>53402</v>
      </c>
      <c r="C959" t="s">
        <v>79</v>
      </c>
      <c r="D959" t="s">
        <v>27</v>
      </c>
      <c r="E959" t="s">
        <v>28</v>
      </c>
      <c r="F959" s="5">
        <v>32</v>
      </c>
      <c r="G959" t="str">
        <f>IF(Data[[#This Row],[Age]]&lt;25,"Under 25",IF(Data[[#This Row],[Age]]&lt;35,"25–34",IF(Data[[#This Row],[Age]]&lt;45,"35–44",IF(Data[[#This Row],[Age]]&lt;55,"45–54","55+"))))</f>
        <v>25–34</v>
      </c>
      <c r="H959" t="s">
        <v>46</v>
      </c>
      <c r="I959" t="s">
        <v>56</v>
      </c>
      <c r="J959" t="s">
        <v>35</v>
      </c>
      <c r="K959" s="1">
        <v>40045</v>
      </c>
      <c r="M959" s="1" t="str">
        <f>IF(ISBLANK(Data[[#This Row],[EndDate]]),"Active","InActive")</f>
        <v>Active</v>
      </c>
      <c r="N959" t="s">
        <v>57</v>
      </c>
      <c r="O959" t="s">
        <v>75</v>
      </c>
      <c r="P959" t="s">
        <v>22</v>
      </c>
      <c r="Q959" s="2">
        <v>10176</v>
      </c>
    </row>
    <row r="960" spans="1:17" x14ac:dyDescent="0.2">
      <c r="A960" s="1">
        <v>43070</v>
      </c>
      <c r="B960">
        <v>33278</v>
      </c>
      <c r="C960" t="s">
        <v>79</v>
      </c>
      <c r="D960" t="s">
        <v>43</v>
      </c>
      <c r="E960" t="s">
        <v>60</v>
      </c>
      <c r="F960" s="5">
        <v>32</v>
      </c>
      <c r="G960" t="str">
        <f>IF(Data[[#This Row],[Age]]&lt;25,"Under 25",IF(Data[[#This Row],[Age]]&lt;35,"25–34",IF(Data[[#This Row],[Age]]&lt;45,"35–44",IF(Data[[#This Row],[Age]]&lt;55,"45–54","55+"))))</f>
        <v>25–34</v>
      </c>
      <c r="H960" t="s">
        <v>34</v>
      </c>
      <c r="I960" t="s">
        <v>56</v>
      </c>
      <c r="J960" t="s">
        <v>37</v>
      </c>
      <c r="K960" s="1">
        <v>40815</v>
      </c>
      <c r="M960" s="1" t="str">
        <f>IF(ISBLANK(Data[[#This Row],[EndDate]]),"Active","InActive")</f>
        <v>Active</v>
      </c>
      <c r="N960" t="s">
        <v>57</v>
      </c>
      <c r="O960" t="s">
        <v>75</v>
      </c>
      <c r="P960" t="s">
        <v>32</v>
      </c>
      <c r="Q960" s="2">
        <v>29824</v>
      </c>
    </row>
    <row r="961" spans="1:17" x14ac:dyDescent="0.2">
      <c r="A961" s="1">
        <v>43435</v>
      </c>
      <c r="B961">
        <v>53554</v>
      </c>
      <c r="C961" t="s">
        <v>79</v>
      </c>
      <c r="D961" t="s">
        <v>50</v>
      </c>
      <c r="E961" t="s">
        <v>55</v>
      </c>
      <c r="F961" s="5">
        <v>32</v>
      </c>
      <c r="G961" t="str">
        <f>IF(Data[[#This Row],[Age]]&lt;25,"Under 25",IF(Data[[#This Row],[Age]]&lt;35,"25–34",IF(Data[[#This Row],[Age]]&lt;45,"35–44",IF(Data[[#This Row],[Age]]&lt;55,"45–54","55+"))))</f>
        <v>25–34</v>
      </c>
      <c r="H961" t="s">
        <v>25</v>
      </c>
      <c r="I961" t="s">
        <v>56</v>
      </c>
      <c r="J961" t="s">
        <v>35</v>
      </c>
      <c r="K961" s="1">
        <v>38804</v>
      </c>
      <c r="M961" s="1" t="str">
        <f>IF(ISBLANK(Data[[#This Row],[EndDate]]),"Active","InActive")</f>
        <v>Active</v>
      </c>
      <c r="N961" t="s">
        <v>57</v>
      </c>
      <c r="O961" t="s">
        <v>75</v>
      </c>
      <c r="P961" t="s">
        <v>40</v>
      </c>
      <c r="Q961" s="2">
        <v>18496</v>
      </c>
    </row>
    <row r="962" spans="1:17" x14ac:dyDescent="0.2">
      <c r="A962" s="1">
        <v>43435</v>
      </c>
      <c r="B962">
        <v>43056</v>
      </c>
      <c r="C962" t="s">
        <v>80</v>
      </c>
      <c r="D962" t="s">
        <v>52</v>
      </c>
      <c r="E962" t="s">
        <v>67</v>
      </c>
      <c r="F962" s="5">
        <v>32</v>
      </c>
      <c r="G962" t="str">
        <f>IF(Data[[#This Row],[Age]]&lt;25,"Under 25",IF(Data[[#This Row],[Age]]&lt;35,"25–34",IF(Data[[#This Row],[Age]]&lt;45,"35–44",IF(Data[[#This Row],[Age]]&lt;55,"45–54","55+"))))</f>
        <v>25–34</v>
      </c>
      <c r="H962" t="s">
        <v>49</v>
      </c>
      <c r="I962" t="s">
        <v>18</v>
      </c>
      <c r="J962" t="s">
        <v>35</v>
      </c>
      <c r="K962" s="1">
        <v>41760</v>
      </c>
      <c r="M962" s="1" t="str">
        <f>IF(ISBLANK(Data[[#This Row],[EndDate]]),"Active","InActive")</f>
        <v>Active</v>
      </c>
      <c r="N962" t="s">
        <v>20</v>
      </c>
      <c r="O962" t="s">
        <v>75</v>
      </c>
      <c r="P962" t="s">
        <v>40</v>
      </c>
      <c r="Q962" s="2">
        <v>8960</v>
      </c>
    </row>
    <row r="963" spans="1:17" x14ac:dyDescent="0.2">
      <c r="A963" s="1">
        <v>42705</v>
      </c>
      <c r="B963">
        <v>49142</v>
      </c>
      <c r="C963" t="s">
        <v>80</v>
      </c>
      <c r="D963" t="s">
        <v>23</v>
      </c>
      <c r="E963" t="s">
        <v>65</v>
      </c>
      <c r="F963" s="5">
        <v>32</v>
      </c>
      <c r="G963" t="str">
        <f>IF(Data[[#This Row],[Age]]&lt;25,"Under 25",IF(Data[[#This Row],[Age]]&lt;35,"25–34",IF(Data[[#This Row],[Age]]&lt;45,"35–44",IF(Data[[#This Row],[Age]]&lt;55,"45–54","55+"))))</f>
        <v>25–34</v>
      </c>
      <c r="H963" t="s">
        <v>49</v>
      </c>
      <c r="I963" t="s">
        <v>18</v>
      </c>
      <c r="J963" t="s">
        <v>37</v>
      </c>
      <c r="K963" s="1">
        <v>39529</v>
      </c>
      <c r="M963" s="1" t="str">
        <f>IF(ISBLANK(Data[[#This Row],[EndDate]]),"Active","InActive")</f>
        <v>Active</v>
      </c>
      <c r="N963" t="s">
        <v>20</v>
      </c>
      <c r="O963" t="s">
        <v>75</v>
      </c>
      <c r="P963" t="s">
        <v>22</v>
      </c>
      <c r="Q963" s="2">
        <v>10240</v>
      </c>
    </row>
    <row r="964" spans="1:17" x14ac:dyDescent="0.2">
      <c r="A964" s="1">
        <v>42705</v>
      </c>
      <c r="B964">
        <v>49666</v>
      </c>
      <c r="C964" t="s">
        <v>79</v>
      </c>
      <c r="D964" t="s">
        <v>15</v>
      </c>
      <c r="E964" t="s">
        <v>16</v>
      </c>
      <c r="F964" s="5">
        <v>32</v>
      </c>
      <c r="G964" t="str">
        <f>IF(Data[[#This Row],[Age]]&lt;25,"Under 25",IF(Data[[#This Row],[Age]]&lt;35,"25–34",IF(Data[[#This Row],[Age]]&lt;45,"35–44",IF(Data[[#This Row],[Age]]&lt;55,"45–54","55+"))))</f>
        <v>25–34</v>
      </c>
      <c r="H964" t="s">
        <v>49</v>
      </c>
      <c r="I964" t="s">
        <v>56</v>
      </c>
      <c r="J964" t="s">
        <v>37</v>
      </c>
      <c r="K964" s="1">
        <v>39108</v>
      </c>
      <c r="M964" s="1" t="str">
        <f>IF(ISBLANK(Data[[#This Row],[EndDate]]),"Active","InActive")</f>
        <v>Active</v>
      </c>
      <c r="N964" t="s">
        <v>57</v>
      </c>
      <c r="O964" t="s">
        <v>75</v>
      </c>
      <c r="P964" t="s">
        <v>22</v>
      </c>
      <c r="Q964" s="2">
        <v>17056</v>
      </c>
    </row>
    <row r="965" spans="1:17" x14ac:dyDescent="0.2">
      <c r="A965" s="1">
        <v>43435</v>
      </c>
      <c r="B965">
        <v>44062</v>
      </c>
      <c r="C965" t="s">
        <v>80</v>
      </c>
      <c r="D965" t="s">
        <v>41</v>
      </c>
      <c r="E965" t="s">
        <v>42</v>
      </c>
      <c r="F965" s="5">
        <v>32</v>
      </c>
      <c r="G965" t="str">
        <f>IF(Data[[#This Row],[Age]]&lt;25,"Under 25",IF(Data[[#This Row],[Age]]&lt;35,"25–34",IF(Data[[#This Row],[Age]]&lt;45,"35–44",IF(Data[[#This Row],[Age]]&lt;55,"45–54","55+"))))</f>
        <v>25–34</v>
      </c>
      <c r="H965" t="s">
        <v>59</v>
      </c>
      <c r="I965" t="s">
        <v>56</v>
      </c>
      <c r="J965" t="s">
        <v>37</v>
      </c>
      <c r="K965" s="1">
        <v>38941</v>
      </c>
      <c r="M965" s="1" t="str">
        <f>IF(ISBLANK(Data[[#This Row],[EndDate]]),"Active","InActive")</f>
        <v>Active</v>
      </c>
      <c r="N965" t="s">
        <v>57</v>
      </c>
      <c r="O965" t="s">
        <v>75</v>
      </c>
      <c r="P965" t="s">
        <v>40</v>
      </c>
      <c r="Q965" s="2">
        <v>20832</v>
      </c>
    </row>
    <row r="966" spans="1:17" x14ac:dyDescent="0.2">
      <c r="A966" s="1">
        <v>43070</v>
      </c>
      <c r="B966">
        <v>22912</v>
      </c>
      <c r="C966" t="s">
        <v>80</v>
      </c>
      <c r="D966" t="s">
        <v>15</v>
      </c>
      <c r="E966" t="s">
        <v>16</v>
      </c>
      <c r="F966" s="5">
        <v>32</v>
      </c>
      <c r="G966" t="str">
        <f>IF(Data[[#This Row],[Age]]&lt;25,"Under 25",IF(Data[[#This Row],[Age]]&lt;35,"25–34",IF(Data[[#This Row],[Age]]&lt;45,"35–44",IF(Data[[#This Row],[Age]]&lt;55,"45–54","55+"))))</f>
        <v>25–34</v>
      </c>
      <c r="H966" t="s">
        <v>59</v>
      </c>
      <c r="I966" t="s">
        <v>56</v>
      </c>
      <c r="J966" t="s">
        <v>37</v>
      </c>
      <c r="K966" s="1">
        <v>41578</v>
      </c>
      <c r="M966" s="1" t="str">
        <f>IF(ISBLANK(Data[[#This Row],[EndDate]]),"Active","InActive")</f>
        <v>Active</v>
      </c>
      <c r="N966" t="s">
        <v>57</v>
      </c>
      <c r="O966" t="s">
        <v>75</v>
      </c>
      <c r="P966" t="s">
        <v>32</v>
      </c>
      <c r="Q966" s="2">
        <v>14080</v>
      </c>
    </row>
    <row r="967" spans="1:17" x14ac:dyDescent="0.2">
      <c r="A967" s="1">
        <v>43435</v>
      </c>
      <c r="B967">
        <v>55594</v>
      </c>
      <c r="C967" t="s">
        <v>80</v>
      </c>
      <c r="D967" t="s">
        <v>43</v>
      </c>
      <c r="E967" t="s">
        <v>66</v>
      </c>
      <c r="F967" s="5">
        <v>32</v>
      </c>
      <c r="G967" t="str">
        <f>IF(Data[[#This Row],[Age]]&lt;25,"Under 25",IF(Data[[#This Row],[Age]]&lt;35,"25–34",IF(Data[[#This Row],[Age]]&lt;45,"35–44",IF(Data[[#This Row],[Age]]&lt;55,"45–54","55+"))))</f>
        <v>25–34</v>
      </c>
      <c r="H967" t="s">
        <v>31</v>
      </c>
      <c r="I967" t="s">
        <v>18</v>
      </c>
      <c r="J967" t="s">
        <v>37</v>
      </c>
      <c r="K967" s="1">
        <v>41936</v>
      </c>
      <c r="M967" s="1" t="str">
        <f>IF(ISBLANK(Data[[#This Row],[EndDate]]),"Active","InActive")</f>
        <v>Active</v>
      </c>
      <c r="N967" t="s">
        <v>20</v>
      </c>
      <c r="O967" t="s">
        <v>75</v>
      </c>
      <c r="P967" t="s">
        <v>40</v>
      </c>
      <c r="Q967" s="2">
        <v>25216</v>
      </c>
    </row>
    <row r="968" spans="1:17" x14ac:dyDescent="0.2">
      <c r="A968" s="1">
        <v>43435</v>
      </c>
      <c r="B968">
        <v>55602</v>
      </c>
      <c r="C968" t="s">
        <v>80</v>
      </c>
      <c r="D968" t="s">
        <v>47</v>
      </c>
      <c r="E968" t="s">
        <v>48</v>
      </c>
      <c r="F968" s="5">
        <v>32</v>
      </c>
      <c r="G968" t="str">
        <f>IF(Data[[#This Row],[Age]]&lt;25,"Under 25",IF(Data[[#This Row],[Age]]&lt;35,"25–34",IF(Data[[#This Row],[Age]]&lt;45,"35–44",IF(Data[[#This Row],[Age]]&lt;55,"45–54","55+"))))</f>
        <v>25–34</v>
      </c>
      <c r="H968" t="s">
        <v>31</v>
      </c>
      <c r="I968" t="s">
        <v>18</v>
      </c>
      <c r="J968" t="s">
        <v>37</v>
      </c>
      <c r="K968" s="1">
        <v>41894</v>
      </c>
      <c r="M968" s="1" t="str">
        <f>IF(ISBLANK(Data[[#This Row],[EndDate]]),"Active","InActive")</f>
        <v>Active</v>
      </c>
      <c r="N968" t="s">
        <v>20</v>
      </c>
      <c r="O968" t="s">
        <v>75</v>
      </c>
      <c r="P968" t="s">
        <v>40</v>
      </c>
      <c r="Q968" s="2">
        <v>5824</v>
      </c>
    </row>
    <row r="969" spans="1:17" x14ac:dyDescent="0.2">
      <c r="A969" s="1">
        <v>43435</v>
      </c>
      <c r="B969">
        <v>43364</v>
      </c>
      <c r="C969" t="s">
        <v>80</v>
      </c>
      <c r="D969" t="s">
        <v>29</v>
      </c>
      <c r="E969" t="s">
        <v>30</v>
      </c>
      <c r="F969" s="5">
        <v>32</v>
      </c>
      <c r="G969" t="str">
        <f>IF(Data[[#This Row],[Age]]&lt;25,"Under 25",IF(Data[[#This Row],[Age]]&lt;35,"25–34",IF(Data[[#This Row],[Age]]&lt;45,"35–44",IF(Data[[#This Row],[Age]]&lt;55,"45–54","55+"))))</f>
        <v>25–34</v>
      </c>
      <c r="H969" t="s">
        <v>17</v>
      </c>
      <c r="I969" t="s">
        <v>18</v>
      </c>
      <c r="J969" t="s">
        <v>37</v>
      </c>
      <c r="K969" s="1">
        <v>41921</v>
      </c>
      <c r="M969" s="1" t="str">
        <f>IF(ISBLANK(Data[[#This Row],[EndDate]]),"Active","InActive")</f>
        <v>Active</v>
      </c>
      <c r="N969" t="s">
        <v>20</v>
      </c>
      <c r="O969" t="s">
        <v>75</v>
      </c>
      <c r="P969" t="s">
        <v>40</v>
      </c>
      <c r="Q969" s="2">
        <v>18816</v>
      </c>
    </row>
    <row r="970" spans="1:17" x14ac:dyDescent="0.2">
      <c r="A970" s="1">
        <v>42705</v>
      </c>
      <c r="B970">
        <v>56246</v>
      </c>
      <c r="C970" t="s">
        <v>80</v>
      </c>
      <c r="D970" t="s">
        <v>41</v>
      </c>
      <c r="E970" t="s">
        <v>68</v>
      </c>
      <c r="F970" s="5">
        <v>32</v>
      </c>
      <c r="G970" t="str">
        <f>IF(Data[[#This Row],[Age]]&lt;25,"Under 25",IF(Data[[#This Row],[Age]]&lt;35,"25–34",IF(Data[[#This Row],[Age]]&lt;45,"35–44",IF(Data[[#This Row],[Age]]&lt;55,"45–54","55+"))))</f>
        <v>25–34</v>
      </c>
      <c r="H970" t="s">
        <v>34</v>
      </c>
      <c r="I970" t="s">
        <v>18</v>
      </c>
      <c r="J970" t="s">
        <v>35</v>
      </c>
      <c r="K970" s="1">
        <v>37168</v>
      </c>
      <c r="M970" s="1" t="str">
        <f>IF(ISBLANK(Data[[#This Row],[EndDate]]),"Active","InActive")</f>
        <v>Active</v>
      </c>
      <c r="N970" t="s">
        <v>20</v>
      </c>
      <c r="O970" t="s">
        <v>75</v>
      </c>
      <c r="P970" t="s">
        <v>22</v>
      </c>
      <c r="Q970" s="2">
        <v>7616</v>
      </c>
    </row>
    <row r="971" spans="1:17" x14ac:dyDescent="0.2">
      <c r="A971" s="1">
        <v>42705</v>
      </c>
      <c r="B971">
        <v>101802</v>
      </c>
      <c r="C971" t="s">
        <v>80</v>
      </c>
      <c r="D971" t="s">
        <v>15</v>
      </c>
      <c r="E971" t="s">
        <v>16</v>
      </c>
      <c r="F971" s="5">
        <v>32</v>
      </c>
      <c r="G971" t="str">
        <f>IF(Data[[#This Row],[Age]]&lt;25,"Under 25",IF(Data[[#This Row],[Age]]&lt;35,"25–34",IF(Data[[#This Row],[Age]]&lt;45,"35–44",IF(Data[[#This Row],[Age]]&lt;55,"45–54","55+"))))</f>
        <v>25–34</v>
      </c>
      <c r="H971" t="s">
        <v>59</v>
      </c>
      <c r="I971" t="s">
        <v>18</v>
      </c>
      <c r="J971" t="s">
        <v>35</v>
      </c>
      <c r="K971" s="1">
        <v>38594</v>
      </c>
      <c r="L971" s="1">
        <v>38654</v>
      </c>
      <c r="M971" s="1" t="str">
        <f>IF(ISBLANK(Data[[#This Row],[EndDate]]),"Active","InActive")</f>
        <v>InActive</v>
      </c>
      <c r="N971" t="s">
        <v>20</v>
      </c>
      <c r="O971" t="s">
        <v>75</v>
      </c>
      <c r="P971" t="s">
        <v>22</v>
      </c>
      <c r="Q971" s="2">
        <v>31648</v>
      </c>
    </row>
    <row r="972" spans="1:17" x14ac:dyDescent="0.2">
      <c r="A972" s="1">
        <v>43070</v>
      </c>
      <c r="B972">
        <v>50342</v>
      </c>
      <c r="C972" t="s">
        <v>79</v>
      </c>
      <c r="D972" t="s">
        <v>43</v>
      </c>
      <c r="E972" t="s">
        <v>60</v>
      </c>
      <c r="F972" s="5">
        <v>32</v>
      </c>
      <c r="G972" t="str">
        <f>IF(Data[[#This Row],[Age]]&lt;25,"Under 25",IF(Data[[#This Row],[Age]]&lt;35,"25–34",IF(Data[[#This Row],[Age]]&lt;45,"35–44",IF(Data[[#This Row],[Age]]&lt;55,"45–54","55+"))))</f>
        <v>25–34</v>
      </c>
      <c r="H972" t="s">
        <v>59</v>
      </c>
      <c r="I972" t="s">
        <v>56</v>
      </c>
      <c r="J972" t="s">
        <v>35</v>
      </c>
      <c r="K972" s="1">
        <v>39569</v>
      </c>
      <c r="M972" s="1" t="str">
        <f>IF(ISBLANK(Data[[#This Row],[EndDate]]),"Active","InActive")</f>
        <v>Active</v>
      </c>
      <c r="N972" t="s">
        <v>57</v>
      </c>
      <c r="O972" t="s">
        <v>75</v>
      </c>
      <c r="P972" t="s">
        <v>32</v>
      </c>
      <c r="Q972" s="2">
        <v>9344</v>
      </c>
    </row>
    <row r="973" spans="1:17" x14ac:dyDescent="0.2">
      <c r="A973" s="1">
        <v>43070</v>
      </c>
      <c r="B973">
        <v>56292</v>
      </c>
      <c r="C973" t="s">
        <v>79</v>
      </c>
      <c r="D973" t="s">
        <v>23</v>
      </c>
      <c r="E973" t="s">
        <v>65</v>
      </c>
      <c r="F973" s="5">
        <v>32</v>
      </c>
      <c r="G973" t="str">
        <f>IF(Data[[#This Row],[Age]]&lt;25,"Under 25",IF(Data[[#This Row],[Age]]&lt;35,"25–34",IF(Data[[#This Row],[Age]]&lt;45,"35–44",IF(Data[[#This Row],[Age]]&lt;55,"45–54","55+"))))</f>
        <v>25–34</v>
      </c>
      <c r="H973" t="s">
        <v>17</v>
      </c>
      <c r="I973" t="s">
        <v>56</v>
      </c>
      <c r="J973" t="s">
        <v>35</v>
      </c>
      <c r="K973" s="1">
        <v>39427</v>
      </c>
      <c r="M973" s="1" t="str">
        <f>IF(ISBLANK(Data[[#This Row],[EndDate]]),"Active","InActive")</f>
        <v>Active</v>
      </c>
      <c r="N973" t="s">
        <v>57</v>
      </c>
      <c r="O973" t="s">
        <v>75</v>
      </c>
      <c r="P973" t="s">
        <v>32</v>
      </c>
      <c r="Q973" s="2">
        <v>8192</v>
      </c>
    </row>
    <row r="974" spans="1:17" x14ac:dyDescent="0.2">
      <c r="A974" s="1">
        <v>43435</v>
      </c>
      <c r="B974">
        <v>49416</v>
      </c>
      <c r="C974" t="s">
        <v>80</v>
      </c>
      <c r="D974" t="s">
        <v>47</v>
      </c>
      <c r="E974" t="s">
        <v>73</v>
      </c>
      <c r="F974" s="5">
        <v>32</v>
      </c>
      <c r="G974" t="str">
        <f>IF(Data[[#This Row],[Age]]&lt;25,"Under 25",IF(Data[[#This Row],[Age]]&lt;35,"25–34",IF(Data[[#This Row],[Age]]&lt;45,"35–44",IF(Data[[#This Row],[Age]]&lt;55,"45–54","55+"))))</f>
        <v>25–34</v>
      </c>
      <c r="H974" t="s">
        <v>34</v>
      </c>
      <c r="I974" t="s">
        <v>18</v>
      </c>
      <c r="J974" t="s">
        <v>35</v>
      </c>
      <c r="K974" s="1">
        <v>40849</v>
      </c>
      <c r="M974" s="1" t="str">
        <f>IF(ISBLANK(Data[[#This Row],[EndDate]]),"Active","InActive")</f>
        <v>Active</v>
      </c>
      <c r="N974" t="s">
        <v>20</v>
      </c>
      <c r="O974" t="s">
        <v>75</v>
      </c>
      <c r="P974" t="s">
        <v>40</v>
      </c>
      <c r="Q974" s="2">
        <v>22144</v>
      </c>
    </row>
    <row r="975" spans="1:17" x14ac:dyDescent="0.2">
      <c r="A975" s="1">
        <v>43435</v>
      </c>
      <c r="B975">
        <v>50304</v>
      </c>
      <c r="C975" t="s">
        <v>79</v>
      </c>
      <c r="D975" t="s">
        <v>50</v>
      </c>
      <c r="E975" t="s">
        <v>51</v>
      </c>
      <c r="F975" s="5">
        <v>32</v>
      </c>
      <c r="G975" t="str">
        <f>IF(Data[[#This Row],[Age]]&lt;25,"Under 25",IF(Data[[#This Row],[Age]]&lt;35,"25–34",IF(Data[[#This Row],[Age]]&lt;45,"35–44",IF(Data[[#This Row],[Age]]&lt;55,"45–54","55+"))))</f>
        <v>25–34</v>
      </c>
      <c r="H975" t="s">
        <v>25</v>
      </c>
      <c r="I975" t="s">
        <v>56</v>
      </c>
      <c r="J975" t="s">
        <v>35</v>
      </c>
      <c r="K975" s="1">
        <v>40017</v>
      </c>
      <c r="M975" s="1" t="str">
        <f>IF(ISBLANK(Data[[#This Row],[EndDate]]),"Active","InActive")</f>
        <v>Active</v>
      </c>
      <c r="N975" t="s">
        <v>57</v>
      </c>
      <c r="O975" t="s">
        <v>75</v>
      </c>
      <c r="P975" t="s">
        <v>40</v>
      </c>
      <c r="Q975" s="2">
        <v>24576</v>
      </c>
    </row>
    <row r="976" spans="1:17" x14ac:dyDescent="0.2">
      <c r="A976" s="1">
        <v>43435</v>
      </c>
      <c r="B976">
        <v>56318</v>
      </c>
      <c r="C976" t="s">
        <v>80</v>
      </c>
      <c r="D976" t="s">
        <v>27</v>
      </c>
      <c r="E976" t="s">
        <v>28</v>
      </c>
      <c r="F976" s="5">
        <v>32</v>
      </c>
      <c r="G976" t="str">
        <f>IF(Data[[#This Row],[Age]]&lt;25,"Under 25",IF(Data[[#This Row],[Age]]&lt;35,"25–34",IF(Data[[#This Row],[Age]]&lt;45,"35–44",IF(Data[[#This Row],[Age]]&lt;55,"45–54","55+"))))</f>
        <v>25–34</v>
      </c>
      <c r="H976" t="s">
        <v>59</v>
      </c>
      <c r="I976" t="s">
        <v>18</v>
      </c>
      <c r="J976" t="s">
        <v>35</v>
      </c>
      <c r="K976" s="1">
        <v>41754</v>
      </c>
      <c r="M976" s="1" t="str">
        <f>IF(ISBLANK(Data[[#This Row],[EndDate]]),"Active","InActive")</f>
        <v>Active</v>
      </c>
      <c r="N976" t="s">
        <v>20</v>
      </c>
      <c r="O976" t="s">
        <v>75</v>
      </c>
      <c r="P976" t="s">
        <v>40</v>
      </c>
      <c r="Q976" s="2">
        <v>4704</v>
      </c>
    </row>
    <row r="977" spans="1:17" x14ac:dyDescent="0.2">
      <c r="A977" s="1">
        <v>43435</v>
      </c>
      <c r="B977">
        <v>96218</v>
      </c>
      <c r="C977" t="s">
        <v>79</v>
      </c>
      <c r="D977" t="s">
        <v>41</v>
      </c>
      <c r="E977" t="s">
        <v>42</v>
      </c>
      <c r="F977" s="5">
        <v>32</v>
      </c>
      <c r="G977" t="str">
        <f>IF(Data[[#This Row],[Age]]&lt;25,"Under 25",IF(Data[[#This Row],[Age]]&lt;35,"25–34",IF(Data[[#This Row],[Age]]&lt;45,"35–44",IF(Data[[#This Row],[Age]]&lt;55,"45–54","55+"))))</f>
        <v>25–34</v>
      </c>
      <c r="H977" t="s">
        <v>49</v>
      </c>
      <c r="I977" t="s">
        <v>18</v>
      </c>
      <c r="J977" t="s">
        <v>19</v>
      </c>
      <c r="K977" s="1">
        <v>41485</v>
      </c>
      <c r="M977" s="1" t="str">
        <f>IF(ISBLANK(Data[[#This Row],[EndDate]]),"Active","InActive")</f>
        <v>Active</v>
      </c>
      <c r="N977" t="s">
        <v>20</v>
      </c>
      <c r="O977" t="s">
        <v>75</v>
      </c>
      <c r="P977" t="s">
        <v>40</v>
      </c>
      <c r="Q977" s="2">
        <v>17792</v>
      </c>
    </row>
    <row r="978" spans="1:17" x14ac:dyDescent="0.2">
      <c r="A978" s="1">
        <v>42705</v>
      </c>
      <c r="B978">
        <v>95694</v>
      </c>
      <c r="C978" t="s">
        <v>80</v>
      </c>
      <c r="D978" t="s">
        <v>50</v>
      </c>
      <c r="E978" t="s">
        <v>63</v>
      </c>
      <c r="F978" s="5">
        <v>32</v>
      </c>
      <c r="G978" t="str">
        <f>IF(Data[[#This Row],[Age]]&lt;25,"Under 25",IF(Data[[#This Row],[Age]]&lt;35,"25–34",IF(Data[[#This Row],[Age]]&lt;45,"35–44",IF(Data[[#This Row],[Age]]&lt;55,"45–54","55+"))))</f>
        <v>25–34</v>
      </c>
      <c r="H978" t="s">
        <v>49</v>
      </c>
      <c r="I978" t="s">
        <v>56</v>
      </c>
      <c r="J978" t="s">
        <v>19</v>
      </c>
      <c r="K978" s="1">
        <v>38554</v>
      </c>
      <c r="L978" s="1">
        <v>38614</v>
      </c>
      <c r="M978" s="1" t="str">
        <f>IF(ISBLANK(Data[[#This Row],[EndDate]]),"Active","InActive")</f>
        <v>InActive</v>
      </c>
      <c r="N978" t="s">
        <v>57</v>
      </c>
      <c r="O978" t="s">
        <v>75</v>
      </c>
      <c r="P978" t="s">
        <v>22</v>
      </c>
      <c r="Q978" s="2">
        <v>6560</v>
      </c>
    </row>
    <row r="979" spans="1:17" x14ac:dyDescent="0.2">
      <c r="A979" s="1">
        <v>42705</v>
      </c>
      <c r="B979">
        <v>96236</v>
      </c>
      <c r="C979" t="s">
        <v>79</v>
      </c>
      <c r="D979" t="s">
        <v>15</v>
      </c>
      <c r="E979" t="s">
        <v>70</v>
      </c>
      <c r="F979" s="5">
        <v>32</v>
      </c>
      <c r="G979" t="str">
        <f>IF(Data[[#This Row],[Age]]&lt;25,"Under 25",IF(Data[[#This Row],[Age]]&lt;35,"25–34",IF(Data[[#This Row],[Age]]&lt;45,"35–44",IF(Data[[#This Row],[Age]]&lt;55,"45–54","55+"))))</f>
        <v>25–34</v>
      </c>
      <c r="H979" t="s">
        <v>49</v>
      </c>
      <c r="I979" t="s">
        <v>56</v>
      </c>
      <c r="J979" t="s">
        <v>19</v>
      </c>
      <c r="K979" s="1">
        <v>40827</v>
      </c>
      <c r="L979" s="1">
        <v>40887</v>
      </c>
      <c r="M979" s="1" t="str">
        <f>IF(ISBLANK(Data[[#This Row],[EndDate]]),"Active","InActive")</f>
        <v>InActive</v>
      </c>
      <c r="N979" t="s">
        <v>57</v>
      </c>
      <c r="O979" t="s">
        <v>75</v>
      </c>
      <c r="P979" t="s">
        <v>22</v>
      </c>
      <c r="Q979" s="2">
        <v>20416</v>
      </c>
    </row>
    <row r="980" spans="1:17" x14ac:dyDescent="0.2">
      <c r="A980" s="1">
        <v>42705</v>
      </c>
      <c r="B980">
        <v>120656</v>
      </c>
      <c r="C980" t="s">
        <v>79</v>
      </c>
      <c r="D980" t="s">
        <v>41</v>
      </c>
      <c r="E980" t="s">
        <v>42</v>
      </c>
      <c r="F980" s="5">
        <v>32</v>
      </c>
      <c r="G980" t="str">
        <f>IF(Data[[#This Row],[Age]]&lt;25,"Under 25",IF(Data[[#This Row],[Age]]&lt;35,"25–34",IF(Data[[#This Row],[Age]]&lt;45,"35–44",IF(Data[[#This Row],[Age]]&lt;55,"45–54","55+"))))</f>
        <v>25–34</v>
      </c>
      <c r="H980" t="s">
        <v>59</v>
      </c>
      <c r="I980" t="s">
        <v>56</v>
      </c>
      <c r="J980" t="s">
        <v>19</v>
      </c>
      <c r="K980" s="1">
        <v>37058</v>
      </c>
      <c r="M980" s="1" t="str">
        <f>IF(ISBLANK(Data[[#This Row],[EndDate]]),"Active","InActive")</f>
        <v>Active</v>
      </c>
      <c r="N980" t="s">
        <v>57</v>
      </c>
      <c r="O980" t="s">
        <v>75</v>
      </c>
      <c r="P980" t="s">
        <v>22</v>
      </c>
      <c r="Q980" s="2">
        <v>31360</v>
      </c>
    </row>
    <row r="981" spans="1:17" x14ac:dyDescent="0.2">
      <c r="A981" s="1">
        <v>42705</v>
      </c>
      <c r="B981">
        <v>120794</v>
      </c>
      <c r="C981" t="s">
        <v>79</v>
      </c>
      <c r="D981" t="s">
        <v>50</v>
      </c>
      <c r="E981" t="s">
        <v>63</v>
      </c>
      <c r="F981" s="5">
        <v>32</v>
      </c>
      <c r="G981" t="str">
        <f>IF(Data[[#This Row],[Age]]&lt;25,"Under 25",IF(Data[[#This Row],[Age]]&lt;35,"25–34",IF(Data[[#This Row],[Age]]&lt;45,"35–44",IF(Data[[#This Row],[Age]]&lt;55,"45–54","55+"))))</f>
        <v>25–34</v>
      </c>
      <c r="H981" t="s">
        <v>59</v>
      </c>
      <c r="I981" t="s">
        <v>56</v>
      </c>
      <c r="J981" t="s">
        <v>19</v>
      </c>
      <c r="K981" s="1">
        <v>40835</v>
      </c>
      <c r="M981" s="1" t="str">
        <f>IF(ISBLANK(Data[[#This Row],[EndDate]]),"Active","InActive")</f>
        <v>Active</v>
      </c>
      <c r="N981" t="s">
        <v>57</v>
      </c>
      <c r="O981" t="s">
        <v>75</v>
      </c>
      <c r="P981" t="s">
        <v>22</v>
      </c>
      <c r="Q981" s="2">
        <v>26208</v>
      </c>
    </row>
    <row r="982" spans="1:17" x14ac:dyDescent="0.2">
      <c r="A982" s="1">
        <v>43435</v>
      </c>
      <c r="B982">
        <v>92484</v>
      </c>
      <c r="C982" t="s">
        <v>79</v>
      </c>
      <c r="D982" t="s">
        <v>50</v>
      </c>
      <c r="E982" t="s">
        <v>55</v>
      </c>
      <c r="F982" s="5">
        <v>32</v>
      </c>
      <c r="G982" t="str">
        <f>IF(Data[[#This Row],[Age]]&lt;25,"Under 25",IF(Data[[#This Row],[Age]]&lt;35,"25–34",IF(Data[[#This Row],[Age]]&lt;45,"35–44",IF(Data[[#This Row],[Age]]&lt;55,"45–54","55+"))))</f>
        <v>25–34</v>
      </c>
      <c r="H982" t="s">
        <v>59</v>
      </c>
      <c r="I982" t="s">
        <v>56</v>
      </c>
      <c r="J982" t="s">
        <v>19</v>
      </c>
      <c r="K982" s="1">
        <v>40661</v>
      </c>
      <c r="M982" s="1" t="str">
        <f>IF(ISBLANK(Data[[#This Row],[EndDate]]),"Active","InActive")</f>
        <v>Active</v>
      </c>
      <c r="N982" t="s">
        <v>57</v>
      </c>
      <c r="O982" t="s">
        <v>75</v>
      </c>
      <c r="P982" t="s">
        <v>40</v>
      </c>
      <c r="Q982" s="2">
        <v>10240</v>
      </c>
    </row>
    <row r="983" spans="1:17" x14ac:dyDescent="0.2">
      <c r="A983" s="1">
        <v>43435</v>
      </c>
      <c r="B983">
        <v>95752</v>
      </c>
      <c r="C983" t="s">
        <v>79</v>
      </c>
      <c r="D983" t="s">
        <v>27</v>
      </c>
      <c r="E983" t="s">
        <v>72</v>
      </c>
      <c r="F983" s="5">
        <v>32</v>
      </c>
      <c r="G983" t="str">
        <f>IF(Data[[#This Row],[Age]]&lt;25,"Under 25",IF(Data[[#This Row],[Age]]&lt;35,"25–34",IF(Data[[#This Row],[Age]]&lt;45,"35–44",IF(Data[[#This Row],[Age]]&lt;55,"45–54","55+"))))</f>
        <v>25–34</v>
      </c>
      <c r="H983" t="s">
        <v>31</v>
      </c>
      <c r="I983" t="s">
        <v>56</v>
      </c>
      <c r="J983" t="s">
        <v>19</v>
      </c>
      <c r="K983" s="1">
        <v>39052</v>
      </c>
      <c r="M983" s="1" t="str">
        <f>IF(ISBLANK(Data[[#This Row],[EndDate]]),"Active","InActive")</f>
        <v>Active</v>
      </c>
      <c r="N983" t="s">
        <v>57</v>
      </c>
      <c r="O983" t="s">
        <v>75</v>
      </c>
      <c r="P983" t="s">
        <v>40</v>
      </c>
      <c r="Q983" s="2">
        <v>28000</v>
      </c>
    </row>
    <row r="984" spans="1:17" x14ac:dyDescent="0.2">
      <c r="A984" s="1">
        <v>43435</v>
      </c>
      <c r="B984">
        <v>98080</v>
      </c>
      <c r="C984" t="s">
        <v>79</v>
      </c>
      <c r="D984" t="s">
        <v>43</v>
      </c>
      <c r="E984" t="s">
        <v>44</v>
      </c>
      <c r="F984" s="5">
        <v>32</v>
      </c>
      <c r="G984" t="str">
        <f>IF(Data[[#This Row],[Age]]&lt;25,"Under 25",IF(Data[[#This Row],[Age]]&lt;35,"25–34",IF(Data[[#This Row],[Age]]&lt;45,"35–44",IF(Data[[#This Row],[Age]]&lt;55,"45–54","55+"))))</f>
        <v>25–34</v>
      </c>
      <c r="H984" t="s">
        <v>49</v>
      </c>
      <c r="I984" t="s">
        <v>56</v>
      </c>
      <c r="J984" t="s">
        <v>19</v>
      </c>
      <c r="K984" s="1">
        <v>37173</v>
      </c>
      <c r="M984" s="1" t="str">
        <f>IF(ISBLANK(Data[[#This Row],[EndDate]]),"Active","InActive")</f>
        <v>Active</v>
      </c>
      <c r="N984" t="s">
        <v>57</v>
      </c>
      <c r="O984" t="s">
        <v>75</v>
      </c>
      <c r="P984" t="s">
        <v>40</v>
      </c>
      <c r="Q984" s="2">
        <v>22816</v>
      </c>
    </row>
    <row r="985" spans="1:17" x14ac:dyDescent="0.2">
      <c r="A985" s="1">
        <v>43435</v>
      </c>
      <c r="B985">
        <v>98432</v>
      </c>
      <c r="C985" t="s">
        <v>79</v>
      </c>
      <c r="D985" t="s">
        <v>50</v>
      </c>
      <c r="E985" t="s">
        <v>55</v>
      </c>
      <c r="F985" s="5">
        <v>32</v>
      </c>
      <c r="G985" t="str">
        <f>IF(Data[[#This Row],[Age]]&lt;25,"Under 25",IF(Data[[#This Row],[Age]]&lt;35,"25–34",IF(Data[[#This Row],[Age]]&lt;45,"35–44",IF(Data[[#This Row],[Age]]&lt;55,"45–54","55+"))))</f>
        <v>25–34</v>
      </c>
      <c r="H985" t="s">
        <v>34</v>
      </c>
      <c r="I985" t="s">
        <v>56</v>
      </c>
      <c r="J985" t="s">
        <v>19</v>
      </c>
      <c r="K985" s="1">
        <v>38447</v>
      </c>
      <c r="M985" s="1" t="str">
        <f>IF(ISBLANK(Data[[#This Row],[EndDate]]),"Active","InActive")</f>
        <v>Active</v>
      </c>
      <c r="N985" t="s">
        <v>57</v>
      </c>
      <c r="O985" t="s">
        <v>75</v>
      </c>
      <c r="P985" t="s">
        <v>40</v>
      </c>
      <c r="Q985" s="2">
        <v>18752</v>
      </c>
    </row>
    <row r="986" spans="1:17" x14ac:dyDescent="0.2">
      <c r="A986" s="1">
        <v>42705</v>
      </c>
      <c r="B986">
        <v>33296</v>
      </c>
      <c r="C986" t="s">
        <v>79</v>
      </c>
      <c r="D986" t="s">
        <v>38</v>
      </c>
      <c r="E986" t="s">
        <v>45</v>
      </c>
      <c r="F986" s="5">
        <v>32</v>
      </c>
      <c r="G986" t="str">
        <f>IF(Data[[#This Row],[Age]]&lt;25,"Under 25",IF(Data[[#This Row],[Age]]&lt;35,"25–34",IF(Data[[#This Row],[Age]]&lt;45,"35–44",IF(Data[[#This Row],[Age]]&lt;55,"45–54","55+"))))</f>
        <v>25–34</v>
      </c>
      <c r="H986" t="s">
        <v>17</v>
      </c>
      <c r="I986" t="s">
        <v>56</v>
      </c>
      <c r="J986" t="s">
        <v>19</v>
      </c>
      <c r="K986" s="1">
        <v>39687</v>
      </c>
      <c r="M986" s="1" t="str">
        <f>IF(ISBLANK(Data[[#This Row],[EndDate]]),"Active","InActive")</f>
        <v>Active</v>
      </c>
      <c r="N986" t="s">
        <v>57</v>
      </c>
      <c r="O986" t="s">
        <v>75</v>
      </c>
      <c r="P986" t="s">
        <v>22</v>
      </c>
      <c r="Q986" s="2">
        <v>5856</v>
      </c>
    </row>
    <row r="987" spans="1:17" x14ac:dyDescent="0.2">
      <c r="A987" s="1">
        <v>42705</v>
      </c>
      <c r="B987">
        <v>104208</v>
      </c>
      <c r="C987" t="s">
        <v>79</v>
      </c>
      <c r="D987" t="s">
        <v>47</v>
      </c>
      <c r="E987" t="s">
        <v>73</v>
      </c>
      <c r="F987" s="5">
        <v>32</v>
      </c>
      <c r="G987" t="str">
        <f>IF(Data[[#This Row],[Age]]&lt;25,"Under 25",IF(Data[[#This Row],[Age]]&lt;35,"25–34",IF(Data[[#This Row],[Age]]&lt;45,"35–44",IF(Data[[#This Row],[Age]]&lt;55,"45–54","55+"))))</f>
        <v>25–34</v>
      </c>
      <c r="H987" t="s">
        <v>46</v>
      </c>
      <c r="I987" t="s">
        <v>18</v>
      </c>
      <c r="J987" t="s">
        <v>37</v>
      </c>
      <c r="K987" s="1">
        <v>41250</v>
      </c>
      <c r="M987" s="1" t="str">
        <f>IF(ISBLANK(Data[[#This Row],[EndDate]]),"Active","InActive")</f>
        <v>Active</v>
      </c>
      <c r="N987" t="s">
        <v>20</v>
      </c>
      <c r="O987" t="s">
        <v>75</v>
      </c>
      <c r="P987" t="s">
        <v>22</v>
      </c>
      <c r="Q987" s="2">
        <v>16416</v>
      </c>
    </row>
    <row r="988" spans="1:17" x14ac:dyDescent="0.2">
      <c r="A988" s="1">
        <v>43070</v>
      </c>
      <c r="B988">
        <v>53402</v>
      </c>
      <c r="C988" t="s">
        <v>79</v>
      </c>
      <c r="D988" t="s">
        <v>27</v>
      </c>
      <c r="E988" t="s">
        <v>28</v>
      </c>
      <c r="F988" s="5">
        <v>33</v>
      </c>
      <c r="G988" t="str">
        <f>IF(Data[[#This Row],[Age]]&lt;25,"Under 25",IF(Data[[#This Row],[Age]]&lt;35,"25–34",IF(Data[[#This Row],[Age]]&lt;45,"35–44",IF(Data[[#This Row],[Age]]&lt;55,"45–54","55+"))))</f>
        <v>25–34</v>
      </c>
      <c r="H988" t="s">
        <v>46</v>
      </c>
      <c r="I988" t="s">
        <v>56</v>
      </c>
      <c r="J988" t="s">
        <v>35</v>
      </c>
      <c r="K988" s="1">
        <v>40045</v>
      </c>
      <c r="M988" s="1" t="str">
        <f>IF(ISBLANK(Data[[#This Row],[EndDate]]),"Active","InActive")</f>
        <v>Active</v>
      </c>
      <c r="N988" t="s">
        <v>57</v>
      </c>
      <c r="O988" t="s">
        <v>75</v>
      </c>
      <c r="P988" t="s">
        <v>32</v>
      </c>
      <c r="Q988" s="2">
        <v>31812</v>
      </c>
    </row>
    <row r="989" spans="1:17" x14ac:dyDescent="0.2">
      <c r="A989" s="1">
        <v>42705</v>
      </c>
      <c r="B989">
        <v>51010</v>
      </c>
      <c r="C989" t="s">
        <v>80</v>
      </c>
      <c r="D989" t="s">
        <v>15</v>
      </c>
      <c r="E989" t="s">
        <v>70</v>
      </c>
      <c r="F989" s="5">
        <v>33</v>
      </c>
      <c r="G989" t="str">
        <f>IF(Data[[#This Row],[Age]]&lt;25,"Under 25",IF(Data[[#This Row],[Age]]&lt;35,"25–34",IF(Data[[#This Row],[Age]]&lt;45,"35–44",IF(Data[[#This Row],[Age]]&lt;55,"45–54","55+"))))</f>
        <v>25–34</v>
      </c>
      <c r="H989" t="s">
        <v>46</v>
      </c>
      <c r="I989" t="s">
        <v>56</v>
      </c>
      <c r="J989" t="s">
        <v>26</v>
      </c>
      <c r="K989" s="1">
        <v>40030</v>
      </c>
      <c r="M989" s="1" t="str">
        <f>IF(ISBLANK(Data[[#This Row],[EndDate]]),"Active","InActive")</f>
        <v>Active</v>
      </c>
      <c r="N989" t="s">
        <v>57</v>
      </c>
      <c r="O989" t="s">
        <v>75</v>
      </c>
      <c r="P989" t="s">
        <v>22</v>
      </c>
      <c r="Q989" s="2">
        <v>4059</v>
      </c>
    </row>
    <row r="990" spans="1:17" x14ac:dyDescent="0.2">
      <c r="A990" s="1">
        <v>42705</v>
      </c>
      <c r="B990">
        <v>52292</v>
      </c>
      <c r="C990" t="s">
        <v>80</v>
      </c>
      <c r="D990" t="s">
        <v>43</v>
      </c>
      <c r="E990" t="s">
        <v>66</v>
      </c>
      <c r="F990" s="5">
        <v>33</v>
      </c>
      <c r="G990" t="str">
        <f>IF(Data[[#This Row],[Age]]&lt;25,"Under 25",IF(Data[[#This Row],[Age]]&lt;35,"25–34",IF(Data[[#This Row],[Age]]&lt;45,"35–44",IF(Data[[#This Row],[Age]]&lt;55,"45–54","55+"))))</f>
        <v>25–34</v>
      </c>
      <c r="H990" t="s">
        <v>31</v>
      </c>
      <c r="I990" t="s">
        <v>56</v>
      </c>
      <c r="J990" t="s">
        <v>26</v>
      </c>
      <c r="K990" s="1">
        <v>38510</v>
      </c>
      <c r="M990" s="1" t="str">
        <f>IF(ISBLANK(Data[[#This Row],[EndDate]]),"Active","InActive")</f>
        <v>Active</v>
      </c>
      <c r="N990" t="s">
        <v>57</v>
      </c>
      <c r="O990" t="s">
        <v>75</v>
      </c>
      <c r="P990" t="s">
        <v>22</v>
      </c>
      <c r="Q990" s="2">
        <v>16368</v>
      </c>
    </row>
    <row r="991" spans="1:17" x14ac:dyDescent="0.2">
      <c r="A991" s="1">
        <v>42705</v>
      </c>
      <c r="B991">
        <v>101440</v>
      </c>
      <c r="C991" t="s">
        <v>80</v>
      </c>
      <c r="D991" t="s">
        <v>27</v>
      </c>
      <c r="E991" t="s">
        <v>28</v>
      </c>
      <c r="F991" s="5">
        <v>33</v>
      </c>
      <c r="G991" t="str">
        <f>IF(Data[[#This Row],[Age]]&lt;25,"Under 25",IF(Data[[#This Row],[Age]]&lt;35,"25–34",IF(Data[[#This Row],[Age]]&lt;45,"35–44",IF(Data[[#This Row],[Age]]&lt;55,"45–54","55+"))))</f>
        <v>25–34</v>
      </c>
      <c r="H991" t="s">
        <v>46</v>
      </c>
      <c r="I991" t="s">
        <v>18</v>
      </c>
      <c r="J991" t="s">
        <v>26</v>
      </c>
      <c r="K991" s="1">
        <v>40939</v>
      </c>
      <c r="M991" s="1" t="str">
        <f>IF(ISBLANK(Data[[#This Row],[EndDate]]),"Active","InActive")</f>
        <v>Active</v>
      </c>
      <c r="N991" t="s">
        <v>20</v>
      </c>
      <c r="O991" t="s">
        <v>75</v>
      </c>
      <c r="P991" t="s">
        <v>22</v>
      </c>
      <c r="Q991" s="2">
        <v>16137</v>
      </c>
    </row>
    <row r="992" spans="1:17" x14ac:dyDescent="0.2">
      <c r="A992" s="1">
        <v>43070</v>
      </c>
      <c r="B992">
        <v>49142</v>
      </c>
      <c r="C992" t="s">
        <v>80</v>
      </c>
      <c r="D992" t="s">
        <v>23</v>
      </c>
      <c r="E992" t="s">
        <v>65</v>
      </c>
      <c r="F992" s="5">
        <v>33</v>
      </c>
      <c r="G992" t="str">
        <f>IF(Data[[#This Row],[Age]]&lt;25,"Under 25",IF(Data[[#This Row],[Age]]&lt;35,"25–34",IF(Data[[#This Row],[Age]]&lt;45,"35–44",IF(Data[[#This Row],[Age]]&lt;55,"45–54","55+"))))</f>
        <v>25–34</v>
      </c>
      <c r="H992" t="s">
        <v>49</v>
      </c>
      <c r="I992" t="s">
        <v>18</v>
      </c>
      <c r="J992" t="s">
        <v>37</v>
      </c>
      <c r="K992" s="1">
        <v>39529</v>
      </c>
      <c r="M992" s="1" t="str">
        <f>IF(ISBLANK(Data[[#This Row],[EndDate]]),"Active","InActive")</f>
        <v>Active</v>
      </c>
      <c r="N992" t="s">
        <v>20</v>
      </c>
      <c r="O992" t="s">
        <v>75</v>
      </c>
      <c r="P992" t="s">
        <v>32</v>
      </c>
      <c r="Q992" s="2">
        <v>24354</v>
      </c>
    </row>
    <row r="993" spans="1:17" x14ac:dyDescent="0.2">
      <c r="A993" s="1">
        <v>43070</v>
      </c>
      <c r="B993">
        <v>49666</v>
      </c>
      <c r="C993" t="s">
        <v>79</v>
      </c>
      <c r="D993" t="s">
        <v>15</v>
      </c>
      <c r="E993" t="s">
        <v>16</v>
      </c>
      <c r="F993" s="5">
        <v>33</v>
      </c>
      <c r="G993" t="str">
        <f>IF(Data[[#This Row],[Age]]&lt;25,"Under 25",IF(Data[[#This Row],[Age]]&lt;35,"25–34",IF(Data[[#This Row],[Age]]&lt;45,"35–44",IF(Data[[#This Row],[Age]]&lt;55,"45–54","55+"))))</f>
        <v>25–34</v>
      </c>
      <c r="H993" t="s">
        <v>49</v>
      </c>
      <c r="I993" t="s">
        <v>56</v>
      </c>
      <c r="J993" t="s">
        <v>37</v>
      </c>
      <c r="K993" s="1">
        <v>39108</v>
      </c>
      <c r="M993" s="1" t="str">
        <f>IF(ISBLANK(Data[[#This Row],[EndDate]]),"Active","InActive")</f>
        <v>Active</v>
      </c>
      <c r="N993" t="s">
        <v>57</v>
      </c>
      <c r="O993" t="s">
        <v>75</v>
      </c>
      <c r="P993" t="s">
        <v>32</v>
      </c>
      <c r="Q993" s="2">
        <v>6897</v>
      </c>
    </row>
    <row r="994" spans="1:17" x14ac:dyDescent="0.2">
      <c r="A994" s="1">
        <v>43435</v>
      </c>
      <c r="B994">
        <v>43804</v>
      </c>
      <c r="C994" t="s">
        <v>80</v>
      </c>
      <c r="D994" t="s">
        <v>50</v>
      </c>
      <c r="E994" t="s">
        <v>51</v>
      </c>
      <c r="F994" s="5">
        <v>33</v>
      </c>
      <c r="G994" t="str">
        <f>IF(Data[[#This Row],[Age]]&lt;25,"Under 25",IF(Data[[#This Row],[Age]]&lt;35,"25–34",IF(Data[[#This Row],[Age]]&lt;45,"35–44",IF(Data[[#This Row],[Age]]&lt;55,"45–54","55+"))))</f>
        <v>25–34</v>
      </c>
      <c r="H994" t="s">
        <v>34</v>
      </c>
      <c r="I994" t="s">
        <v>56</v>
      </c>
      <c r="J994" t="s">
        <v>37</v>
      </c>
      <c r="K994" s="1">
        <v>41717</v>
      </c>
      <c r="M994" s="1" t="str">
        <f>IF(ISBLANK(Data[[#This Row],[EndDate]]),"Active","InActive")</f>
        <v>Active</v>
      </c>
      <c r="N994" t="s">
        <v>57</v>
      </c>
      <c r="O994" t="s">
        <v>75</v>
      </c>
      <c r="P994" t="s">
        <v>40</v>
      </c>
      <c r="Q994" s="2">
        <v>20229</v>
      </c>
    </row>
    <row r="995" spans="1:17" x14ac:dyDescent="0.2">
      <c r="A995" s="1">
        <v>42705</v>
      </c>
      <c r="B995">
        <v>52010</v>
      </c>
      <c r="C995" t="s">
        <v>80</v>
      </c>
      <c r="D995" t="s">
        <v>29</v>
      </c>
      <c r="E995" t="s">
        <v>36</v>
      </c>
      <c r="F995" s="5">
        <v>33</v>
      </c>
      <c r="G995" t="str">
        <f>IF(Data[[#This Row],[Age]]&lt;25,"Under 25",IF(Data[[#This Row],[Age]]&lt;35,"25–34",IF(Data[[#This Row],[Age]]&lt;45,"35–44",IF(Data[[#This Row],[Age]]&lt;55,"45–54","55+"))))</f>
        <v>25–34</v>
      </c>
      <c r="H995" t="s">
        <v>25</v>
      </c>
      <c r="I995" t="s">
        <v>18</v>
      </c>
      <c r="J995" t="s">
        <v>37</v>
      </c>
      <c r="K995" s="1">
        <v>37742</v>
      </c>
      <c r="M995" s="1" t="str">
        <f>IF(ISBLANK(Data[[#This Row],[EndDate]]),"Active","InActive")</f>
        <v>Active</v>
      </c>
      <c r="N995" t="s">
        <v>20</v>
      </c>
      <c r="O995" t="s">
        <v>75</v>
      </c>
      <c r="P995" t="s">
        <v>22</v>
      </c>
      <c r="Q995" s="2">
        <v>11352</v>
      </c>
    </row>
    <row r="996" spans="1:17" x14ac:dyDescent="0.2">
      <c r="A996" s="1">
        <v>43435</v>
      </c>
      <c r="B996">
        <v>55600</v>
      </c>
      <c r="C996" t="s">
        <v>80</v>
      </c>
      <c r="D996" t="s">
        <v>23</v>
      </c>
      <c r="E996" t="s">
        <v>24</v>
      </c>
      <c r="F996" s="5">
        <v>33</v>
      </c>
      <c r="G996" t="str">
        <f>IF(Data[[#This Row],[Age]]&lt;25,"Under 25",IF(Data[[#This Row],[Age]]&lt;35,"25–34",IF(Data[[#This Row],[Age]]&lt;45,"35–44",IF(Data[[#This Row],[Age]]&lt;55,"45–54","55+"))))</f>
        <v>25–34</v>
      </c>
      <c r="H996" t="s">
        <v>17</v>
      </c>
      <c r="I996" t="s">
        <v>18</v>
      </c>
      <c r="J996" t="s">
        <v>37</v>
      </c>
      <c r="K996" s="1">
        <v>41943</v>
      </c>
      <c r="M996" s="1" t="str">
        <f>IF(ISBLANK(Data[[#This Row],[EndDate]]),"Active","InActive")</f>
        <v>Active</v>
      </c>
      <c r="N996" t="s">
        <v>20</v>
      </c>
      <c r="O996" t="s">
        <v>75</v>
      </c>
      <c r="P996" t="s">
        <v>40</v>
      </c>
      <c r="Q996" s="2">
        <v>27555</v>
      </c>
    </row>
    <row r="997" spans="1:17" x14ac:dyDescent="0.2">
      <c r="A997" s="1">
        <v>43070</v>
      </c>
      <c r="B997">
        <v>9492</v>
      </c>
      <c r="C997" t="s">
        <v>80</v>
      </c>
      <c r="D997" t="s">
        <v>52</v>
      </c>
      <c r="E997" t="s">
        <v>67</v>
      </c>
      <c r="F997" s="5">
        <v>33</v>
      </c>
      <c r="G997" t="str">
        <f>IF(Data[[#This Row],[Age]]&lt;25,"Under 25",IF(Data[[#This Row],[Age]]&lt;35,"25–34",IF(Data[[#This Row],[Age]]&lt;45,"35–44",IF(Data[[#This Row],[Age]]&lt;55,"45–54","55+"))))</f>
        <v>25–34</v>
      </c>
      <c r="H997" t="s">
        <v>34</v>
      </c>
      <c r="I997" t="s">
        <v>18</v>
      </c>
      <c r="J997" t="s">
        <v>37</v>
      </c>
      <c r="K997" s="1">
        <v>41494</v>
      </c>
      <c r="M997" s="1" t="str">
        <f>IF(ISBLANK(Data[[#This Row],[EndDate]]),"Active","InActive")</f>
        <v>Active</v>
      </c>
      <c r="N997" t="s">
        <v>20</v>
      </c>
      <c r="O997" t="s">
        <v>75</v>
      </c>
      <c r="P997" t="s">
        <v>32</v>
      </c>
      <c r="Q997" s="2">
        <v>5247</v>
      </c>
    </row>
    <row r="998" spans="1:17" x14ac:dyDescent="0.2">
      <c r="A998" s="1">
        <v>42705</v>
      </c>
      <c r="B998">
        <v>53004</v>
      </c>
      <c r="C998" t="s">
        <v>80</v>
      </c>
      <c r="D998" t="s">
        <v>41</v>
      </c>
      <c r="E998" t="s">
        <v>62</v>
      </c>
      <c r="F998" s="5">
        <v>33</v>
      </c>
      <c r="G998" t="str">
        <f>IF(Data[[#This Row],[Age]]&lt;25,"Under 25",IF(Data[[#This Row],[Age]]&lt;35,"25–34",IF(Data[[#This Row],[Age]]&lt;45,"35–44",IF(Data[[#This Row],[Age]]&lt;55,"45–54","55+"))))</f>
        <v>25–34</v>
      </c>
      <c r="H998" t="s">
        <v>49</v>
      </c>
      <c r="I998" t="s">
        <v>56</v>
      </c>
      <c r="J998" t="s">
        <v>37</v>
      </c>
      <c r="K998" s="1">
        <v>36125</v>
      </c>
      <c r="M998" s="1" t="str">
        <f>IF(ISBLANK(Data[[#This Row],[EndDate]]),"Active","InActive")</f>
        <v>Active</v>
      </c>
      <c r="N998" t="s">
        <v>57</v>
      </c>
      <c r="O998" t="s">
        <v>75</v>
      </c>
      <c r="P998" t="s">
        <v>22</v>
      </c>
      <c r="Q998" s="2">
        <v>13596</v>
      </c>
    </row>
    <row r="999" spans="1:17" x14ac:dyDescent="0.2">
      <c r="A999" s="1">
        <v>43070</v>
      </c>
      <c r="B999">
        <v>56246</v>
      </c>
      <c r="C999" t="s">
        <v>80</v>
      </c>
      <c r="D999" t="s">
        <v>41</v>
      </c>
      <c r="E999" t="s">
        <v>68</v>
      </c>
      <c r="F999" s="5">
        <v>33</v>
      </c>
      <c r="G999" t="str">
        <f>IF(Data[[#This Row],[Age]]&lt;25,"Under 25",IF(Data[[#This Row],[Age]]&lt;35,"25–34",IF(Data[[#This Row],[Age]]&lt;45,"35–44",IF(Data[[#This Row],[Age]]&lt;55,"45–54","55+"))))</f>
        <v>25–34</v>
      </c>
      <c r="H999" t="s">
        <v>34</v>
      </c>
      <c r="I999" t="s">
        <v>18</v>
      </c>
      <c r="J999" t="s">
        <v>35</v>
      </c>
      <c r="K999" s="1">
        <v>37168</v>
      </c>
      <c r="M999" s="1" t="str">
        <f>IF(ISBLANK(Data[[#This Row],[EndDate]]),"Active","InActive")</f>
        <v>Active</v>
      </c>
      <c r="N999" t="s">
        <v>20</v>
      </c>
      <c r="O999" t="s">
        <v>75</v>
      </c>
      <c r="P999" t="s">
        <v>32</v>
      </c>
      <c r="Q999" s="2">
        <v>31152</v>
      </c>
    </row>
    <row r="1000" spans="1:17" x14ac:dyDescent="0.2">
      <c r="A1000" s="1">
        <v>43435</v>
      </c>
      <c r="B1000">
        <v>50342</v>
      </c>
      <c r="C1000" t="s">
        <v>79</v>
      </c>
      <c r="D1000" t="s">
        <v>43</v>
      </c>
      <c r="E1000" t="s">
        <v>60</v>
      </c>
      <c r="F1000" s="5">
        <v>33</v>
      </c>
      <c r="G1000" t="str">
        <f>IF(Data[[#This Row],[Age]]&lt;25,"Under 25",IF(Data[[#This Row],[Age]]&lt;35,"25–34",IF(Data[[#This Row],[Age]]&lt;45,"35–44",IF(Data[[#This Row],[Age]]&lt;55,"45–54","55+"))))</f>
        <v>25–34</v>
      </c>
      <c r="H1000" t="s">
        <v>59</v>
      </c>
      <c r="I1000" t="s">
        <v>56</v>
      </c>
      <c r="J1000" t="s">
        <v>35</v>
      </c>
      <c r="K1000" s="1">
        <v>39569</v>
      </c>
      <c r="M1000" s="1" t="str">
        <f>IF(ISBLANK(Data[[#This Row],[EndDate]]),"Active","InActive")</f>
        <v>Active</v>
      </c>
      <c r="N1000" t="s">
        <v>57</v>
      </c>
      <c r="O1000" t="s">
        <v>75</v>
      </c>
      <c r="P1000" t="s">
        <v>40</v>
      </c>
      <c r="Q1000" s="2">
        <v>24948</v>
      </c>
    </row>
    <row r="1001" spans="1:17" x14ac:dyDescent="0.2">
      <c r="A1001" s="1">
        <v>43435</v>
      </c>
      <c r="B1001">
        <v>50860</v>
      </c>
      <c r="C1001" t="s">
        <v>80</v>
      </c>
      <c r="D1001" t="s">
        <v>29</v>
      </c>
      <c r="E1001" t="s">
        <v>33</v>
      </c>
      <c r="F1001" s="5">
        <v>33</v>
      </c>
      <c r="G1001" t="str">
        <f>IF(Data[[#This Row],[Age]]&lt;25,"Under 25",IF(Data[[#This Row],[Age]]&lt;35,"25–34",IF(Data[[#This Row],[Age]]&lt;45,"35–44",IF(Data[[#This Row],[Age]]&lt;55,"45–54","55+"))))</f>
        <v>25–34</v>
      </c>
      <c r="H1001" t="s">
        <v>34</v>
      </c>
      <c r="I1001" t="s">
        <v>18</v>
      </c>
      <c r="J1001" t="s">
        <v>35</v>
      </c>
      <c r="K1001" s="1">
        <v>41759</v>
      </c>
      <c r="M1001" s="1" t="str">
        <f>IF(ISBLANK(Data[[#This Row],[EndDate]]),"Active","InActive")</f>
        <v>Active</v>
      </c>
      <c r="N1001" t="s">
        <v>20</v>
      </c>
      <c r="O1001" t="s">
        <v>75</v>
      </c>
      <c r="P1001" t="s">
        <v>40</v>
      </c>
      <c r="Q1001" s="2">
        <v>15774</v>
      </c>
    </row>
    <row r="1002" spans="1:17" x14ac:dyDescent="0.2">
      <c r="A1002" s="1">
        <v>43435</v>
      </c>
      <c r="B1002">
        <v>55718</v>
      </c>
      <c r="C1002" t="s">
        <v>80</v>
      </c>
      <c r="D1002" t="s">
        <v>52</v>
      </c>
      <c r="E1002" t="s">
        <v>53</v>
      </c>
      <c r="F1002" s="5">
        <v>33</v>
      </c>
      <c r="G1002" t="str">
        <f>IF(Data[[#This Row],[Age]]&lt;25,"Under 25",IF(Data[[#This Row],[Age]]&lt;35,"25–34",IF(Data[[#This Row],[Age]]&lt;45,"35–44",IF(Data[[#This Row],[Age]]&lt;55,"45–54","55+"))))</f>
        <v>25–34</v>
      </c>
      <c r="H1002" t="s">
        <v>25</v>
      </c>
      <c r="I1002" t="s">
        <v>18</v>
      </c>
      <c r="J1002" t="s">
        <v>35</v>
      </c>
      <c r="K1002" s="1">
        <v>41948</v>
      </c>
      <c r="M1002" s="1" t="str">
        <f>IF(ISBLANK(Data[[#This Row],[EndDate]]),"Active","InActive")</f>
        <v>Active</v>
      </c>
      <c r="N1002" t="s">
        <v>20</v>
      </c>
      <c r="O1002" t="s">
        <v>75</v>
      </c>
      <c r="P1002" t="s">
        <v>40</v>
      </c>
      <c r="Q1002" s="2">
        <v>32340</v>
      </c>
    </row>
    <row r="1003" spans="1:17" x14ac:dyDescent="0.2">
      <c r="A1003" s="1">
        <v>43435</v>
      </c>
      <c r="B1003">
        <v>56292</v>
      </c>
      <c r="C1003" t="s">
        <v>79</v>
      </c>
      <c r="D1003" t="s">
        <v>23</v>
      </c>
      <c r="E1003" t="s">
        <v>65</v>
      </c>
      <c r="F1003" s="5">
        <v>33</v>
      </c>
      <c r="G1003" t="str">
        <f>IF(Data[[#This Row],[Age]]&lt;25,"Under 25",IF(Data[[#This Row],[Age]]&lt;35,"25–34",IF(Data[[#This Row],[Age]]&lt;45,"35–44",IF(Data[[#This Row],[Age]]&lt;55,"45–54","55+"))))</f>
        <v>25–34</v>
      </c>
      <c r="H1003" t="s">
        <v>17</v>
      </c>
      <c r="I1003" t="s">
        <v>56</v>
      </c>
      <c r="J1003" t="s">
        <v>35</v>
      </c>
      <c r="K1003" s="1">
        <v>39427</v>
      </c>
      <c r="M1003" s="1" t="str">
        <f>IF(ISBLANK(Data[[#This Row],[EndDate]]),"Active","InActive")</f>
        <v>Active</v>
      </c>
      <c r="N1003" t="s">
        <v>57</v>
      </c>
      <c r="O1003" t="s">
        <v>75</v>
      </c>
      <c r="P1003" t="s">
        <v>40</v>
      </c>
      <c r="Q1003" s="2">
        <v>21912</v>
      </c>
    </row>
    <row r="1004" spans="1:17" x14ac:dyDescent="0.2">
      <c r="A1004" s="1">
        <v>42705</v>
      </c>
      <c r="B1004">
        <v>95740</v>
      </c>
      <c r="C1004" t="s">
        <v>80</v>
      </c>
      <c r="D1004" t="s">
        <v>43</v>
      </c>
      <c r="E1004" t="s">
        <v>66</v>
      </c>
      <c r="F1004" s="5">
        <v>33</v>
      </c>
      <c r="G1004" t="str">
        <f>IF(Data[[#This Row],[Age]]&lt;25,"Under 25",IF(Data[[#This Row],[Age]]&lt;35,"25–34",IF(Data[[#This Row],[Age]]&lt;45,"35–44",IF(Data[[#This Row],[Age]]&lt;55,"45–54","55+"))))</f>
        <v>25–34</v>
      </c>
      <c r="H1004" t="s">
        <v>34</v>
      </c>
      <c r="I1004" t="s">
        <v>56</v>
      </c>
      <c r="J1004" t="s">
        <v>19</v>
      </c>
      <c r="K1004" s="1">
        <v>39673</v>
      </c>
      <c r="M1004" s="1" t="str">
        <f>IF(ISBLANK(Data[[#This Row],[EndDate]]),"Active","InActive")</f>
        <v>Active</v>
      </c>
      <c r="N1004" t="s">
        <v>57</v>
      </c>
      <c r="O1004" t="s">
        <v>75</v>
      </c>
      <c r="P1004" t="s">
        <v>22</v>
      </c>
      <c r="Q1004" s="2">
        <v>22869</v>
      </c>
    </row>
    <row r="1005" spans="1:17" x14ac:dyDescent="0.2">
      <c r="A1005" s="1">
        <v>43070</v>
      </c>
      <c r="B1005">
        <v>95694</v>
      </c>
      <c r="C1005" t="s">
        <v>80</v>
      </c>
      <c r="D1005" t="s">
        <v>50</v>
      </c>
      <c r="E1005" t="s">
        <v>63</v>
      </c>
      <c r="F1005" s="5">
        <v>33</v>
      </c>
      <c r="G1005" t="str">
        <f>IF(Data[[#This Row],[Age]]&lt;25,"Under 25",IF(Data[[#This Row],[Age]]&lt;35,"25–34",IF(Data[[#This Row],[Age]]&lt;45,"35–44",IF(Data[[#This Row],[Age]]&lt;55,"45–54","55+"))))</f>
        <v>25–34</v>
      </c>
      <c r="H1005" t="s">
        <v>49</v>
      </c>
      <c r="I1005" t="s">
        <v>56</v>
      </c>
      <c r="J1005" t="s">
        <v>19</v>
      </c>
      <c r="K1005" s="1">
        <v>38554</v>
      </c>
      <c r="M1005" s="1" t="str">
        <f>IF(ISBLANK(Data[[#This Row],[EndDate]]),"Active","InActive")</f>
        <v>Active</v>
      </c>
      <c r="N1005" t="s">
        <v>57</v>
      </c>
      <c r="O1005" t="s">
        <v>75</v>
      </c>
      <c r="P1005" t="s">
        <v>32</v>
      </c>
      <c r="Q1005" s="2">
        <v>21351</v>
      </c>
    </row>
    <row r="1006" spans="1:17" x14ac:dyDescent="0.2">
      <c r="A1006" s="1">
        <v>43070</v>
      </c>
      <c r="B1006">
        <v>96236</v>
      </c>
      <c r="C1006" t="s">
        <v>79</v>
      </c>
      <c r="D1006" t="s">
        <v>15</v>
      </c>
      <c r="E1006" t="s">
        <v>70</v>
      </c>
      <c r="F1006" s="5">
        <v>33</v>
      </c>
      <c r="G1006" t="str">
        <f>IF(Data[[#This Row],[Age]]&lt;25,"Under 25",IF(Data[[#This Row],[Age]]&lt;35,"25–34",IF(Data[[#This Row],[Age]]&lt;45,"35–44",IF(Data[[#This Row],[Age]]&lt;55,"45–54","55+"))))</f>
        <v>25–34</v>
      </c>
      <c r="H1006" t="s">
        <v>49</v>
      </c>
      <c r="I1006" t="s">
        <v>56</v>
      </c>
      <c r="J1006" t="s">
        <v>19</v>
      </c>
      <c r="K1006" s="1">
        <v>40827</v>
      </c>
      <c r="M1006" s="1" t="str">
        <f>IF(ISBLANK(Data[[#This Row],[EndDate]]),"Active","InActive")</f>
        <v>Active</v>
      </c>
      <c r="N1006" t="s">
        <v>57</v>
      </c>
      <c r="O1006" t="s">
        <v>75</v>
      </c>
      <c r="P1006" t="s">
        <v>32</v>
      </c>
      <c r="Q1006" s="2">
        <v>31383</v>
      </c>
    </row>
    <row r="1007" spans="1:17" x14ac:dyDescent="0.2">
      <c r="A1007" s="1">
        <v>43070</v>
      </c>
      <c r="B1007">
        <v>33296</v>
      </c>
      <c r="C1007" t="s">
        <v>79</v>
      </c>
      <c r="D1007" t="s">
        <v>38</v>
      </c>
      <c r="E1007" t="s">
        <v>45</v>
      </c>
      <c r="F1007" s="5">
        <v>33</v>
      </c>
      <c r="G1007" t="str">
        <f>IF(Data[[#This Row],[Age]]&lt;25,"Under 25",IF(Data[[#This Row],[Age]]&lt;35,"25–34",IF(Data[[#This Row],[Age]]&lt;45,"35–44",IF(Data[[#This Row],[Age]]&lt;55,"45–54","55+"))))</f>
        <v>25–34</v>
      </c>
      <c r="H1007" t="s">
        <v>17</v>
      </c>
      <c r="I1007" t="s">
        <v>56</v>
      </c>
      <c r="J1007" t="s">
        <v>19</v>
      </c>
      <c r="K1007" s="1">
        <v>39687</v>
      </c>
      <c r="M1007" s="1" t="str">
        <f>IF(ISBLANK(Data[[#This Row],[EndDate]]),"Active","InActive")</f>
        <v>Active</v>
      </c>
      <c r="N1007" t="s">
        <v>57</v>
      </c>
      <c r="O1007" t="s">
        <v>75</v>
      </c>
      <c r="P1007" t="s">
        <v>32</v>
      </c>
      <c r="Q1007" s="2">
        <v>19107</v>
      </c>
    </row>
    <row r="1008" spans="1:17" x14ac:dyDescent="0.2">
      <c r="A1008" s="1">
        <v>43070</v>
      </c>
      <c r="B1008">
        <v>9962</v>
      </c>
      <c r="C1008" t="s">
        <v>80</v>
      </c>
      <c r="D1008" t="s">
        <v>27</v>
      </c>
      <c r="E1008" t="s">
        <v>72</v>
      </c>
      <c r="F1008" s="5">
        <v>33</v>
      </c>
      <c r="G1008" t="str">
        <f>IF(Data[[#This Row],[Age]]&lt;25,"Under 25",IF(Data[[#This Row],[Age]]&lt;35,"25–34",IF(Data[[#This Row],[Age]]&lt;45,"35–44",IF(Data[[#This Row],[Age]]&lt;55,"45–54","55+"))))</f>
        <v>25–34</v>
      </c>
      <c r="H1008" t="s">
        <v>46</v>
      </c>
      <c r="I1008" t="s">
        <v>18</v>
      </c>
      <c r="J1008" t="s">
        <v>37</v>
      </c>
      <c r="K1008" s="1">
        <v>41573</v>
      </c>
      <c r="M1008" s="1" t="str">
        <f>IF(ISBLANK(Data[[#This Row],[EndDate]]),"Active","InActive")</f>
        <v>Active</v>
      </c>
      <c r="N1008" t="s">
        <v>20</v>
      </c>
      <c r="O1008" t="s">
        <v>75</v>
      </c>
      <c r="P1008" t="s">
        <v>32</v>
      </c>
      <c r="Q1008" s="2">
        <v>21120</v>
      </c>
    </row>
    <row r="1009" spans="1:17" x14ac:dyDescent="0.2">
      <c r="A1009" s="1">
        <v>43070</v>
      </c>
      <c r="B1009">
        <v>15890</v>
      </c>
      <c r="C1009" t="s">
        <v>80</v>
      </c>
      <c r="D1009" t="s">
        <v>27</v>
      </c>
      <c r="E1009" t="s">
        <v>72</v>
      </c>
      <c r="F1009" s="5">
        <v>33</v>
      </c>
      <c r="G1009" t="str">
        <f>IF(Data[[#This Row],[Age]]&lt;25,"Under 25",IF(Data[[#This Row],[Age]]&lt;35,"25–34",IF(Data[[#This Row],[Age]]&lt;45,"35–44",IF(Data[[#This Row],[Age]]&lt;55,"45–54","55+"))))</f>
        <v>25–34</v>
      </c>
      <c r="H1009" t="s">
        <v>59</v>
      </c>
      <c r="I1009" t="s">
        <v>18</v>
      </c>
      <c r="J1009" t="s">
        <v>26</v>
      </c>
      <c r="K1009" s="1">
        <v>41607</v>
      </c>
      <c r="M1009" s="1" t="str">
        <f>IF(ISBLANK(Data[[#This Row],[EndDate]]),"Active","InActive")</f>
        <v>Active</v>
      </c>
      <c r="N1009" t="s">
        <v>20</v>
      </c>
      <c r="O1009" t="s">
        <v>75</v>
      </c>
      <c r="P1009" t="s">
        <v>32</v>
      </c>
      <c r="Q1009" s="2">
        <v>8943</v>
      </c>
    </row>
    <row r="1010" spans="1:17" x14ac:dyDescent="0.2">
      <c r="A1010" s="1">
        <v>42705</v>
      </c>
      <c r="B1010">
        <v>33258</v>
      </c>
      <c r="C1010" t="s">
        <v>80</v>
      </c>
      <c r="D1010" t="s">
        <v>41</v>
      </c>
      <c r="E1010" t="s">
        <v>68</v>
      </c>
      <c r="F1010" s="5">
        <v>34</v>
      </c>
      <c r="G1010" t="str">
        <f>IF(Data[[#This Row],[Age]]&lt;25,"Under 25",IF(Data[[#This Row],[Age]]&lt;35,"25–34",IF(Data[[#This Row],[Age]]&lt;45,"35–44",IF(Data[[#This Row],[Age]]&lt;55,"45–54","55+"))))</f>
        <v>25–34</v>
      </c>
      <c r="H1010" t="s">
        <v>31</v>
      </c>
      <c r="I1010" t="s">
        <v>56</v>
      </c>
      <c r="J1010" t="s">
        <v>26</v>
      </c>
      <c r="K1010" s="1">
        <v>39542</v>
      </c>
      <c r="L1010" s="1">
        <v>39577</v>
      </c>
      <c r="M1010" s="1" t="str">
        <f>IF(ISBLANK(Data[[#This Row],[EndDate]]),"Active","InActive")</f>
        <v>InActive</v>
      </c>
      <c r="N1010" t="s">
        <v>57</v>
      </c>
      <c r="O1010" t="s">
        <v>75</v>
      </c>
      <c r="P1010" t="s">
        <v>22</v>
      </c>
      <c r="Q1010" s="2">
        <v>13022</v>
      </c>
    </row>
    <row r="1011" spans="1:17" x14ac:dyDescent="0.2">
      <c r="A1011" s="1">
        <v>43435</v>
      </c>
      <c r="B1011">
        <v>53402</v>
      </c>
      <c r="C1011" t="s">
        <v>79</v>
      </c>
      <c r="D1011" t="s">
        <v>27</v>
      </c>
      <c r="E1011" t="s">
        <v>28</v>
      </c>
      <c r="F1011" s="5">
        <v>34</v>
      </c>
      <c r="G1011" t="str">
        <f>IF(Data[[#This Row],[Age]]&lt;25,"Under 25",IF(Data[[#This Row],[Age]]&lt;35,"25–34",IF(Data[[#This Row],[Age]]&lt;45,"35–44",IF(Data[[#This Row],[Age]]&lt;55,"45–54","55+"))))</f>
        <v>25–34</v>
      </c>
      <c r="H1011" t="s">
        <v>46</v>
      </c>
      <c r="I1011" t="s">
        <v>56</v>
      </c>
      <c r="J1011" t="s">
        <v>35</v>
      </c>
      <c r="K1011" s="1">
        <v>40045</v>
      </c>
      <c r="M1011" s="1" t="str">
        <f>IF(ISBLANK(Data[[#This Row],[EndDate]]),"Active","InActive")</f>
        <v>Active</v>
      </c>
      <c r="N1011" t="s">
        <v>57</v>
      </c>
      <c r="O1011" t="s">
        <v>75</v>
      </c>
      <c r="P1011" t="s">
        <v>40</v>
      </c>
      <c r="Q1011" s="2">
        <v>20978</v>
      </c>
    </row>
    <row r="1012" spans="1:17" x14ac:dyDescent="0.2">
      <c r="A1012" s="1">
        <v>43070</v>
      </c>
      <c r="B1012">
        <v>51010</v>
      </c>
      <c r="C1012" t="s">
        <v>80</v>
      </c>
      <c r="D1012" t="s">
        <v>15</v>
      </c>
      <c r="E1012" t="s">
        <v>70</v>
      </c>
      <c r="F1012" s="5">
        <v>34</v>
      </c>
      <c r="G1012" t="str">
        <f>IF(Data[[#This Row],[Age]]&lt;25,"Under 25",IF(Data[[#This Row],[Age]]&lt;35,"25–34",IF(Data[[#This Row],[Age]]&lt;45,"35–44",IF(Data[[#This Row],[Age]]&lt;55,"45–54","55+"))))</f>
        <v>25–34</v>
      </c>
      <c r="H1012" t="s">
        <v>46</v>
      </c>
      <c r="I1012" t="s">
        <v>56</v>
      </c>
      <c r="J1012" t="s">
        <v>26</v>
      </c>
      <c r="K1012" s="1">
        <v>40030</v>
      </c>
      <c r="M1012" s="1" t="str">
        <f>IF(ISBLANK(Data[[#This Row],[EndDate]]),"Active","InActive")</f>
        <v>Active</v>
      </c>
      <c r="N1012" t="s">
        <v>57</v>
      </c>
      <c r="O1012" t="s">
        <v>75</v>
      </c>
      <c r="P1012" t="s">
        <v>32</v>
      </c>
      <c r="Q1012" s="2">
        <v>15436</v>
      </c>
    </row>
    <row r="1013" spans="1:17" x14ac:dyDescent="0.2">
      <c r="A1013" s="1">
        <v>43070</v>
      </c>
      <c r="B1013">
        <v>52292</v>
      </c>
      <c r="C1013" t="s">
        <v>80</v>
      </c>
      <c r="D1013" t="s">
        <v>43</v>
      </c>
      <c r="E1013" t="s">
        <v>66</v>
      </c>
      <c r="F1013" s="5">
        <v>34</v>
      </c>
      <c r="G1013" t="str">
        <f>IF(Data[[#This Row],[Age]]&lt;25,"Under 25",IF(Data[[#This Row],[Age]]&lt;35,"25–34",IF(Data[[#This Row],[Age]]&lt;45,"35–44",IF(Data[[#This Row],[Age]]&lt;55,"45–54","55+"))))</f>
        <v>25–34</v>
      </c>
      <c r="H1013" t="s">
        <v>31</v>
      </c>
      <c r="I1013" t="s">
        <v>56</v>
      </c>
      <c r="J1013" t="s">
        <v>26</v>
      </c>
      <c r="K1013" s="1">
        <v>38510</v>
      </c>
      <c r="M1013" s="1" t="str">
        <f>IF(ISBLANK(Data[[#This Row],[EndDate]]),"Active","InActive")</f>
        <v>Active</v>
      </c>
      <c r="N1013" t="s">
        <v>57</v>
      </c>
      <c r="O1013" t="s">
        <v>75</v>
      </c>
      <c r="P1013" t="s">
        <v>32</v>
      </c>
      <c r="Q1013" s="2">
        <v>7038</v>
      </c>
    </row>
    <row r="1014" spans="1:17" x14ac:dyDescent="0.2">
      <c r="A1014" s="1">
        <v>43435</v>
      </c>
      <c r="B1014">
        <v>49142</v>
      </c>
      <c r="C1014" t="s">
        <v>80</v>
      </c>
      <c r="D1014" t="s">
        <v>23</v>
      </c>
      <c r="E1014" t="s">
        <v>65</v>
      </c>
      <c r="F1014" s="5">
        <v>34</v>
      </c>
      <c r="G1014" t="str">
        <f>IF(Data[[#This Row],[Age]]&lt;25,"Under 25",IF(Data[[#This Row],[Age]]&lt;35,"25–34",IF(Data[[#This Row],[Age]]&lt;45,"35–44",IF(Data[[#This Row],[Age]]&lt;55,"45–54","55+"))))</f>
        <v>25–34</v>
      </c>
      <c r="H1014" t="s">
        <v>49</v>
      </c>
      <c r="I1014" t="s">
        <v>18</v>
      </c>
      <c r="J1014" t="s">
        <v>37</v>
      </c>
      <c r="K1014" s="1">
        <v>39529</v>
      </c>
      <c r="M1014" s="1" t="str">
        <f>IF(ISBLANK(Data[[#This Row],[EndDate]]),"Active","InActive")</f>
        <v>Active</v>
      </c>
      <c r="N1014" t="s">
        <v>20</v>
      </c>
      <c r="O1014" t="s">
        <v>75</v>
      </c>
      <c r="P1014" t="s">
        <v>40</v>
      </c>
      <c r="Q1014" s="2">
        <v>29750</v>
      </c>
    </row>
    <row r="1015" spans="1:17" x14ac:dyDescent="0.2">
      <c r="A1015" s="1">
        <v>43435</v>
      </c>
      <c r="B1015">
        <v>49666</v>
      </c>
      <c r="C1015" t="s">
        <v>79</v>
      </c>
      <c r="D1015" t="s">
        <v>15</v>
      </c>
      <c r="E1015" t="s">
        <v>16</v>
      </c>
      <c r="F1015" s="5">
        <v>34</v>
      </c>
      <c r="G1015" t="str">
        <f>IF(Data[[#This Row],[Age]]&lt;25,"Under 25",IF(Data[[#This Row],[Age]]&lt;35,"25–34",IF(Data[[#This Row],[Age]]&lt;45,"35–44",IF(Data[[#This Row],[Age]]&lt;55,"45–54","55+"))))</f>
        <v>25–34</v>
      </c>
      <c r="H1015" t="s">
        <v>49</v>
      </c>
      <c r="I1015" t="s">
        <v>56</v>
      </c>
      <c r="J1015" t="s">
        <v>37</v>
      </c>
      <c r="K1015" s="1">
        <v>39108</v>
      </c>
      <c r="M1015" s="1" t="str">
        <f>IF(ISBLANK(Data[[#This Row],[EndDate]]),"Active","InActive")</f>
        <v>Active</v>
      </c>
      <c r="N1015" t="s">
        <v>57</v>
      </c>
      <c r="O1015" t="s">
        <v>75</v>
      </c>
      <c r="P1015" t="s">
        <v>40</v>
      </c>
      <c r="Q1015" s="2">
        <v>22474</v>
      </c>
    </row>
    <row r="1016" spans="1:17" x14ac:dyDescent="0.2">
      <c r="A1016" s="1">
        <v>43070</v>
      </c>
      <c r="B1016">
        <v>52010</v>
      </c>
      <c r="C1016" t="s">
        <v>80</v>
      </c>
      <c r="D1016" t="s">
        <v>29</v>
      </c>
      <c r="E1016" t="s">
        <v>36</v>
      </c>
      <c r="F1016" s="5">
        <v>34</v>
      </c>
      <c r="G1016" t="str">
        <f>IF(Data[[#This Row],[Age]]&lt;25,"Under 25",IF(Data[[#This Row],[Age]]&lt;35,"25–34",IF(Data[[#This Row],[Age]]&lt;45,"35–44",IF(Data[[#This Row],[Age]]&lt;55,"45–54","55+"))))</f>
        <v>25–34</v>
      </c>
      <c r="H1016" t="s">
        <v>25</v>
      </c>
      <c r="I1016" t="s">
        <v>18</v>
      </c>
      <c r="J1016" t="s">
        <v>37</v>
      </c>
      <c r="K1016" s="1">
        <v>37742</v>
      </c>
      <c r="M1016" s="1" t="str">
        <f>IF(ISBLANK(Data[[#This Row],[EndDate]]),"Active","InActive")</f>
        <v>Active</v>
      </c>
      <c r="N1016" t="s">
        <v>20</v>
      </c>
      <c r="O1016" t="s">
        <v>75</v>
      </c>
      <c r="P1016" t="s">
        <v>32</v>
      </c>
      <c r="Q1016" s="2">
        <v>17272</v>
      </c>
    </row>
    <row r="1017" spans="1:17" x14ac:dyDescent="0.2">
      <c r="A1017" s="1">
        <v>42705</v>
      </c>
      <c r="B1017">
        <v>43432</v>
      </c>
      <c r="C1017" t="s">
        <v>79</v>
      </c>
      <c r="D1017" t="s">
        <v>47</v>
      </c>
      <c r="E1017" t="s">
        <v>64</v>
      </c>
      <c r="F1017" s="5">
        <v>34</v>
      </c>
      <c r="G1017" t="str">
        <f>IF(Data[[#This Row],[Age]]&lt;25,"Under 25",IF(Data[[#This Row],[Age]]&lt;35,"25–34",IF(Data[[#This Row],[Age]]&lt;45,"35–44",IF(Data[[#This Row],[Age]]&lt;55,"45–54","55+"))))</f>
        <v>25–34</v>
      </c>
      <c r="H1017" t="s">
        <v>59</v>
      </c>
      <c r="I1017" t="s">
        <v>56</v>
      </c>
      <c r="J1017" t="s">
        <v>37</v>
      </c>
      <c r="K1017" s="1">
        <v>40612</v>
      </c>
      <c r="M1017" s="1" t="str">
        <f>IF(ISBLANK(Data[[#This Row],[EndDate]]),"Active","InActive")</f>
        <v>Active</v>
      </c>
      <c r="N1017" t="s">
        <v>57</v>
      </c>
      <c r="O1017" t="s">
        <v>75</v>
      </c>
      <c r="P1017" t="s">
        <v>22</v>
      </c>
      <c r="Q1017" s="2">
        <v>23766</v>
      </c>
    </row>
    <row r="1018" spans="1:17" x14ac:dyDescent="0.2">
      <c r="A1018" s="1">
        <v>43435</v>
      </c>
      <c r="B1018">
        <v>43424</v>
      </c>
      <c r="C1018" t="s">
        <v>80</v>
      </c>
      <c r="D1018" t="s">
        <v>47</v>
      </c>
      <c r="E1018" t="s">
        <v>64</v>
      </c>
      <c r="F1018" s="5">
        <v>34</v>
      </c>
      <c r="G1018" t="str">
        <f>IF(Data[[#This Row],[Age]]&lt;25,"Under 25",IF(Data[[#This Row],[Age]]&lt;35,"25–34",IF(Data[[#This Row],[Age]]&lt;45,"35–44",IF(Data[[#This Row],[Age]]&lt;55,"45–54","55+"))))</f>
        <v>25–34</v>
      </c>
      <c r="H1018" t="s">
        <v>34</v>
      </c>
      <c r="I1018" t="s">
        <v>18</v>
      </c>
      <c r="J1018" t="s">
        <v>37</v>
      </c>
      <c r="K1018" s="1">
        <v>41775</v>
      </c>
      <c r="M1018" s="1" t="str">
        <f>IF(ISBLANK(Data[[#This Row],[EndDate]]),"Active","InActive")</f>
        <v>Active</v>
      </c>
      <c r="N1018" t="s">
        <v>20</v>
      </c>
      <c r="O1018" t="s">
        <v>75</v>
      </c>
      <c r="P1018" t="s">
        <v>40</v>
      </c>
      <c r="Q1018" s="2">
        <v>22644</v>
      </c>
    </row>
    <row r="1019" spans="1:17" x14ac:dyDescent="0.2">
      <c r="A1019" s="1">
        <v>42705</v>
      </c>
      <c r="B1019">
        <v>1966</v>
      </c>
      <c r="C1019" t="s">
        <v>80</v>
      </c>
      <c r="D1019" t="s">
        <v>41</v>
      </c>
      <c r="E1019" t="s">
        <v>62</v>
      </c>
      <c r="F1019" s="5">
        <v>34</v>
      </c>
      <c r="G1019" t="str">
        <f>IF(Data[[#This Row],[Age]]&lt;25,"Under 25",IF(Data[[#This Row],[Age]]&lt;35,"25–34",IF(Data[[#This Row],[Age]]&lt;45,"35–44",IF(Data[[#This Row],[Age]]&lt;55,"45–54","55+"))))</f>
        <v>25–34</v>
      </c>
      <c r="H1019" t="s">
        <v>49</v>
      </c>
      <c r="I1019" t="s">
        <v>18</v>
      </c>
      <c r="J1019" t="s">
        <v>37</v>
      </c>
      <c r="K1019" s="1">
        <v>41160</v>
      </c>
      <c r="M1019" s="1" t="str">
        <f>IF(ISBLANK(Data[[#This Row],[EndDate]]),"Active","InActive")</f>
        <v>Active</v>
      </c>
      <c r="N1019" t="s">
        <v>20</v>
      </c>
      <c r="O1019" t="s">
        <v>75</v>
      </c>
      <c r="P1019" t="s">
        <v>22</v>
      </c>
      <c r="Q1019" s="2">
        <v>29512</v>
      </c>
    </row>
    <row r="1020" spans="1:17" x14ac:dyDescent="0.2">
      <c r="A1020" s="1">
        <v>42705</v>
      </c>
      <c r="B1020">
        <v>50378</v>
      </c>
      <c r="C1020" t="s">
        <v>79</v>
      </c>
      <c r="D1020" t="s">
        <v>47</v>
      </c>
      <c r="E1020" t="s">
        <v>64</v>
      </c>
      <c r="F1020" s="5">
        <v>34</v>
      </c>
      <c r="G1020" t="str">
        <f>IF(Data[[#This Row],[Age]]&lt;25,"Under 25",IF(Data[[#This Row],[Age]]&lt;35,"25–34",IF(Data[[#This Row],[Age]]&lt;45,"35–44",IF(Data[[#This Row],[Age]]&lt;55,"45–54","55+"))))</f>
        <v>25–34</v>
      </c>
      <c r="H1020" t="s">
        <v>49</v>
      </c>
      <c r="I1020" t="s">
        <v>56</v>
      </c>
      <c r="J1020" t="s">
        <v>37</v>
      </c>
      <c r="K1020" s="1">
        <v>41159</v>
      </c>
      <c r="M1020" s="1" t="str">
        <f>IF(ISBLANK(Data[[#This Row],[EndDate]]),"Active","InActive")</f>
        <v>Active</v>
      </c>
      <c r="N1020" t="s">
        <v>57</v>
      </c>
      <c r="O1020" t="s">
        <v>75</v>
      </c>
      <c r="P1020" t="s">
        <v>22</v>
      </c>
      <c r="Q1020" s="2">
        <v>5032</v>
      </c>
    </row>
    <row r="1021" spans="1:17" x14ac:dyDescent="0.2">
      <c r="A1021" s="1">
        <v>43070</v>
      </c>
      <c r="B1021">
        <v>53004</v>
      </c>
      <c r="C1021" t="s">
        <v>80</v>
      </c>
      <c r="D1021" t="s">
        <v>41</v>
      </c>
      <c r="E1021" t="s">
        <v>62</v>
      </c>
      <c r="F1021" s="5">
        <v>34</v>
      </c>
      <c r="G1021" t="str">
        <f>IF(Data[[#This Row],[Age]]&lt;25,"Under 25",IF(Data[[#This Row],[Age]]&lt;35,"25–34",IF(Data[[#This Row],[Age]]&lt;45,"35–44",IF(Data[[#This Row],[Age]]&lt;55,"45–54","55+"))))</f>
        <v>25–34</v>
      </c>
      <c r="H1021" t="s">
        <v>49</v>
      </c>
      <c r="I1021" t="s">
        <v>56</v>
      </c>
      <c r="J1021" t="s">
        <v>37</v>
      </c>
      <c r="K1021" s="1">
        <v>36125</v>
      </c>
      <c r="M1021" s="1" t="str">
        <f>IF(ISBLANK(Data[[#This Row],[EndDate]]),"Active","InActive")</f>
        <v>Active</v>
      </c>
      <c r="N1021" t="s">
        <v>57</v>
      </c>
      <c r="O1021" t="s">
        <v>75</v>
      </c>
      <c r="P1021" t="s">
        <v>32</v>
      </c>
      <c r="Q1021" s="2">
        <v>26860</v>
      </c>
    </row>
    <row r="1022" spans="1:17" x14ac:dyDescent="0.2">
      <c r="A1022" s="1">
        <v>42705</v>
      </c>
      <c r="B1022">
        <v>51146</v>
      </c>
      <c r="C1022" t="s">
        <v>79</v>
      </c>
      <c r="D1022" t="s">
        <v>47</v>
      </c>
      <c r="E1022" t="s">
        <v>64</v>
      </c>
      <c r="F1022" s="5">
        <v>34</v>
      </c>
      <c r="G1022" t="str">
        <f>IF(Data[[#This Row],[Age]]&lt;25,"Under 25",IF(Data[[#This Row],[Age]]&lt;35,"25–34",IF(Data[[#This Row],[Age]]&lt;45,"35–44",IF(Data[[#This Row],[Age]]&lt;55,"45–54","55+"))))</f>
        <v>25–34</v>
      </c>
      <c r="H1022" t="s">
        <v>31</v>
      </c>
      <c r="I1022" t="s">
        <v>56</v>
      </c>
      <c r="J1022" t="s">
        <v>35</v>
      </c>
      <c r="K1022" s="1">
        <v>34874</v>
      </c>
      <c r="M1022" s="1" t="str">
        <f>IF(ISBLANK(Data[[#This Row],[EndDate]]),"Active","InActive")</f>
        <v>Active</v>
      </c>
      <c r="N1022" t="s">
        <v>57</v>
      </c>
      <c r="O1022" t="s">
        <v>75</v>
      </c>
      <c r="P1022" t="s">
        <v>22</v>
      </c>
      <c r="Q1022" s="2">
        <v>29988</v>
      </c>
    </row>
    <row r="1023" spans="1:17" x14ac:dyDescent="0.2">
      <c r="A1023" s="1">
        <v>43070</v>
      </c>
      <c r="B1023">
        <v>31256</v>
      </c>
      <c r="C1023" t="s">
        <v>80</v>
      </c>
      <c r="D1023" t="s">
        <v>41</v>
      </c>
      <c r="E1023" t="s">
        <v>42</v>
      </c>
      <c r="F1023" s="5">
        <v>34</v>
      </c>
      <c r="G1023" t="str">
        <f>IF(Data[[#This Row],[Age]]&lt;25,"Under 25",IF(Data[[#This Row],[Age]]&lt;35,"25–34",IF(Data[[#This Row],[Age]]&lt;45,"35–44",IF(Data[[#This Row],[Age]]&lt;55,"45–54","55+"))))</f>
        <v>25–34</v>
      </c>
      <c r="H1023" t="s">
        <v>59</v>
      </c>
      <c r="I1023" t="s">
        <v>18</v>
      </c>
      <c r="J1023" t="s">
        <v>35</v>
      </c>
      <c r="K1023" s="1">
        <v>41556</v>
      </c>
      <c r="M1023" s="1" t="str">
        <f>IF(ISBLANK(Data[[#This Row],[EndDate]]),"Active","InActive")</f>
        <v>Active</v>
      </c>
      <c r="N1023" t="s">
        <v>20</v>
      </c>
      <c r="O1023" t="s">
        <v>75</v>
      </c>
      <c r="P1023" t="s">
        <v>32</v>
      </c>
      <c r="Q1023" s="2">
        <v>15708</v>
      </c>
    </row>
    <row r="1024" spans="1:17" x14ac:dyDescent="0.2">
      <c r="A1024" s="1">
        <v>43435</v>
      </c>
      <c r="B1024">
        <v>56246</v>
      </c>
      <c r="C1024" t="s">
        <v>80</v>
      </c>
      <c r="D1024" t="s">
        <v>41</v>
      </c>
      <c r="E1024" t="s">
        <v>68</v>
      </c>
      <c r="F1024" s="5">
        <v>34</v>
      </c>
      <c r="G1024" t="str">
        <f>IF(Data[[#This Row],[Age]]&lt;25,"Under 25",IF(Data[[#This Row],[Age]]&lt;35,"25–34",IF(Data[[#This Row],[Age]]&lt;45,"35–44",IF(Data[[#This Row],[Age]]&lt;55,"45–54","55+"))))</f>
        <v>25–34</v>
      </c>
      <c r="H1024" t="s">
        <v>34</v>
      </c>
      <c r="I1024" t="s">
        <v>18</v>
      </c>
      <c r="J1024" t="s">
        <v>35</v>
      </c>
      <c r="K1024" s="1">
        <v>37168</v>
      </c>
      <c r="M1024" s="1" t="str">
        <f>IF(ISBLANK(Data[[#This Row],[EndDate]]),"Active","InActive")</f>
        <v>Active</v>
      </c>
      <c r="N1024" t="s">
        <v>20</v>
      </c>
      <c r="O1024" t="s">
        <v>75</v>
      </c>
      <c r="P1024" t="s">
        <v>40</v>
      </c>
      <c r="Q1024" s="2">
        <v>5372</v>
      </c>
    </row>
    <row r="1025" spans="1:17" x14ac:dyDescent="0.2">
      <c r="A1025" s="1">
        <v>43070</v>
      </c>
      <c r="B1025">
        <v>95740</v>
      </c>
      <c r="C1025" t="s">
        <v>80</v>
      </c>
      <c r="D1025" t="s">
        <v>43</v>
      </c>
      <c r="E1025" t="s">
        <v>66</v>
      </c>
      <c r="F1025" s="5">
        <v>34</v>
      </c>
      <c r="G1025" t="str">
        <f>IF(Data[[#This Row],[Age]]&lt;25,"Under 25",IF(Data[[#This Row],[Age]]&lt;35,"25–34",IF(Data[[#This Row],[Age]]&lt;45,"35–44",IF(Data[[#This Row],[Age]]&lt;55,"45–54","55+"))))</f>
        <v>25–34</v>
      </c>
      <c r="H1025" t="s">
        <v>34</v>
      </c>
      <c r="I1025" t="s">
        <v>56</v>
      </c>
      <c r="J1025" t="s">
        <v>19</v>
      </c>
      <c r="K1025" s="1">
        <v>39673</v>
      </c>
      <c r="M1025" s="1" t="str">
        <f>IF(ISBLANK(Data[[#This Row],[EndDate]]),"Active","InActive")</f>
        <v>Active</v>
      </c>
      <c r="N1025" t="s">
        <v>57</v>
      </c>
      <c r="O1025" t="s">
        <v>75</v>
      </c>
      <c r="P1025" t="s">
        <v>32</v>
      </c>
      <c r="Q1025" s="2">
        <v>10540</v>
      </c>
    </row>
    <row r="1026" spans="1:17" x14ac:dyDescent="0.2">
      <c r="A1026" s="1">
        <v>43435</v>
      </c>
      <c r="B1026">
        <v>95694</v>
      </c>
      <c r="C1026" t="s">
        <v>80</v>
      </c>
      <c r="D1026" t="s">
        <v>50</v>
      </c>
      <c r="E1026" t="s">
        <v>63</v>
      </c>
      <c r="F1026" s="5">
        <v>34</v>
      </c>
      <c r="G1026" t="str">
        <f>IF(Data[[#This Row],[Age]]&lt;25,"Under 25",IF(Data[[#This Row],[Age]]&lt;35,"25–34",IF(Data[[#This Row],[Age]]&lt;45,"35–44",IF(Data[[#This Row],[Age]]&lt;55,"45–54","55+"))))</f>
        <v>25–34</v>
      </c>
      <c r="H1026" t="s">
        <v>49</v>
      </c>
      <c r="I1026" t="s">
        <v>56</v>
      </c>
      <c r="J1026" t="s">
        <v>19</v>
      </c>
      <c r="K1026" s="1">
        <v>38554</v>
      </c>
      <c r="M1026" s="1" t="str">
        <f>IF(ISBLANK(Data[[#This Row],[EndDate]]),"Active","InActive")</f>
        <v>Active</v>
      </c>
      <c r="N1026" t="s">
        <v>57</v>
      </c>
      <c r="O1026" t="s">
        <v>75</v>
      </c>
      <c r="P1026" t="s">
        <v>40</v>
      </c>
      <c r="Q1026" s="2">
        <v>8330</v>
      </c>
    </row>
    <row r="1027" spans="1:17" x14ac:dyDescent="0.2">
      <c r="A1027" s="1">
        <v>42705</v>
      </c>
      <c r="B1027">
        <v>96764</v>
      </c>
      <c r="C1027" t="s">
        <v>79</v>
      </c>
      <c r="D1027" t="s">
        <v>52</v>
      </c>
      <c r="E1027" t="s">
        <v>53</v>
      </c>
      <c r="F1027" s="5">
        <v>34</v>
      </c>
      <c r="G1027" t="str">
        <f>IF(Data[[#This Row],[Age]]&lt;25,"Under 25",IF(Data[[#This Row],[Age]]&lt;35,"25–34",IF(Data[[#This Row],[Age]]&lt;45,"35–44",IF(Data[[#This Row],[Age]]&lt;55,"45–54","55+"))))</f>
        <v>25–34</v>
      </c>
      <c r="H1027" t="s">
        <v>34</v>
      </c>
      <c r="I1027" t="s">
        <v>56</v>
      </c>
      <c r="J1027" t="s">
        <v>19</v>
      </c>
      <c r="K1027" s="1">
        <v>37085</v>
      </c>
      <c r="M1027" s="1" t="str">
        <f>IF(ISBLANK(Data[[#This Row],[EndDate]]),"Active","InActive")</f>
        <v>Active</v>
      </c>
      <c r="N1027" t="s">
        <v>57</v>
      </c>
      <c r="O1027" t="s">
        <v>75</v>
      </c>
      <c r="P1027" t="s">
        <v>22</v>
      </c>
      <c r="Q1027" s="2">
        <v>20196</v>
      </c>
    </row>
    <row r="1028" spans="1:17" x14ac:dyDescent="0.2">
      <c r="A1028" s="1">
        <v>43435</v>
      </c>
      <c r="B1028">
        <v>95780</v>
      </c>
      <c r="C1028" t="s">
        <v>79</v>
      </c>
      <c r="D1028" t="s">
        <v>27</v>
      </c>
      <c r="E1028" t="s">
        <v>74</v>
      </c>
      <c r="F1028" s="5">
        <v>34</v>
      </c>
      <c r="G1028" t="str">
        <f>IF(Data[[#This Row],[Age]]&lt;25,"Under 25",IF(Data[[#This Row],[Age]]&lt;35,"25–34",IF(Data[[#This Row],[Age]]&lt;45,"35–44",IF(Data[[#This Row],[Age]]&lt;55,"45–54","55+"))))</f>
        <v>25–34</v>
      </c>
      <c r="H1028" t="s">
        <v>34</v>
      </c>
      <c r="I1028" t="s">
        <v>56</v>
      </c>
      <c r="J1028" t="s">
        <v>19</v>
      </c>
      <c r="K1028" s="1">
        <v>41863</v>
      </c>
      <c r="M1028" s="1" t="str">
        <f>IF(ISBLANK(Data[[#This Row],[EndDate]]),"Active","InActive")</f>
        <v>Active</v>
      </c>
      <c r="N1028" t="s">
        <v>57</v>
      </c>
      <c r="O1028" t="s">
        <v>75</v>
      </c>
      <c r="P1028" t="s">
        <v>40</v>
      </c>
      <c r="Q1028" s="2">
        <v>32878</v>
      </c>
    </row>
    <row r="1029" spans="1:17" x14ac:dyDescent="0.2">
      <c r="A1029" s="1">
        <v>43435</v>
      </c>
      <c r="B1029">
        <v>96236</v>
      </c>
      <c r="C1029" t="s">
        <v>79</v>
      </c>
      <c r="D1029" t="s">
        <v>15</v>
      </c>
      <c r="E1029" t="s">
        <v>70</v>
      </c>
      <c r="F1029" s="5">
        <v>34</v>
      </c>
      <c r="G1029" t="str">
        <f>IF(Data[[#This Row],[Age]]&lt;25,"Under 25",IF(Data[[#This Row],[Age]]&lt;35,"25–34",IF(Data[[#This Row],[Age]]&lt;45,"35–44",IF(Data[[#This Row],[Age]]&lt;55,"45–54","55+"))))</f>
        <v>25–34</v>
      </c>
      <c r="H1029" t="s">
        <v>49</v>
      </c>
      <c r="I1029" t="s">
        <v>56</v>
      </c>
      <c r="J1029" t="s">
        <v>19</v>
      </c>
      <c r="K1029" s="1">
        <v>40827</v>
      </c>
      <c r="M1029" s="1" t="str">
        <f>IF(ISBLANK(Data[[#This Row],[EndDate]]),"Active","InActive")</f>
        <v>Active</v>
      </c>
      <c r="N1029" t="s">
        <v>57</v>
      </c>
      <c r="O1029" t="s">
        <v>75</v>
      </c>
      <c r="P1029" t="s">
        <v>40</v>
      </c>
      <c r="Q1029" s="2">
        <v>23392</v>
      </c>
    </row>
    <row r="1030" spans="1:17" x14ac:dyDescent="0.2">
      <c r="A1030" s="1">
        <v>42705</v>
      </c>
      <c r="B1030">
        <v>52968</v>
      </c>
      <c r="C1030" t="s">
        <v>80</v>
      </c>
      <c r="D1030" t="s">
        <v>23</v>
      </c>
      <c r="E1030" t="s">
        <v>71</v>
      </c>
      <c r="F1030" s="5">
        <v>35</v>
      </c>
      <c r="G1030" t="str">
        <f>IF(Data[[#This Row],[Age]]&lt;25,"Under 25",IF(Data[[#This Row],[Age]]&lt;35,"25–34",IF(Data[[#This Row],[Age]]&lt;45,"35–44",IF(Data[[#This Row],[Age]]&lt;55,"45–54","55+"))))</f>
        <v>35–44</v>
      </c>
      <c r="H1030" t="s">
        <v>25</v>
      </c>
      <c r="I1030" t="s">
        <v>56</v>
      </c>
      <c r="J1030" t="s">
        <v>37</v>
      </c>
      <c r="K1030" s="1">
        <v>39169</v>
      </c>
      <c r="M1030" s="1" t="str">
        <f>IF(ISBLANK(Data[[#This Row],[EndDate]]),"Active","InActive")</f>
        <v>Active</v>
      </c>
      <c r="N1030" t="s">
        <v>57</v>
      </c>
      <c r="O1030" t="s">
        <v>75</v>
      </c>
      <c r="P1030" t="s">
        <v>22</v>
      </c>
      <c r="Q1030" s="2">
        <v>27440</v>
      </c>
    </row>
    <row r="1031" spans="1:17" x14ac:dyDescent="0.2">
      <c r="A1031" s="1">
        <v>43070</v>
      </c>
      <c r="B1031">
        <v>33258</v>
      </c>
      <c r="C1031" t="s">
        <v>80</v>
      </c>
      <c r="D1031" t="s">
        <v>41</v>
      </c>
      <c r="E1031" t="s">
        <v>68</v>
      </c>
      <c r="F1031" s="5">
        <v>35</v>
      </c>
      <c r="G1031" t="str">
        <f>IF(Data[[#This Row],[Age]]&lt;25,"Under 25",IF(Data[[#This Row],[Age]]&lt;35,"25–34",IF(Data[[#This Row],[Age]]&lt;45,"35–44",IF(Data[[#This Row],[Age]]&lt;55,"45–54","55+"))))</f>
        <v>35–44</v>
      </c>
      <c r="H1031" t="s">
        <v>31</v>
      </c>
      <c r="I1031" t="s">
        <v>56</v>
      </c>
      <c r="J1031" t="s">
        <v>26</v>
      </c>
      <c r="K1031" s="1">
        <v>39542</v>
      </c>
      <c r="M1031" s="1" t="str">
        <f>IF(ISBLANK(Data[[#This Row],[EndDate]]),"Active","InActive")</f>
        <v>Active</v>
      </c>
      <c r="N1031" t="s">
        <v>57</v>
      </c>
      <c r="O1031" t="s">
        <v>75</v>
      </c>
      <c r="P1031" t="s">
        <v>32</v>
      </c>
      <c r="Q1031" s="2">
        <v>21035</v>
      </c>
    </row>
    <row r="1032" spans="1:17" x14ac:dyDescent="0.2">
      <c r="A1032" s="1">
        <v>42705</v>
      </c>
      <c r="B1032">
        <v>118346</v>
      </c>
      <c r="C1032" t="s">
        <v>80</v>
      </c>
      <c r="D1032" t="s">
        <v>29</v>
      </c>
      <c r="E1032" t="s">
        <v>36</v>
      </c>
      <c r="F1032" s="5">
        <v>35</v>
      </c>
      <c r="G1032" t="str">
        <f>IF(Data[[#This Row],[Age]]&lt;25,"Under 25",IF(Data[[#This Row],[Age]]&lt;35,"25–34",IF(Data[[#This Row],[Age]]&lt;45,"35–44",IF(Data[[#This Row],[Age]]&lt;55,"45–54","55+"))))</f>
        <v>35–44</v>
      </c>
      <c r="H1032" t="s">
        <v>25</v>
      </c>
      <c r="I1032" t="s">
        <v>18</v>
      </c>
      <c r="J1032" t="s">
        <v>26</v>
      </c>
      <c r="K1032" s="1">
        <v>41227</v>
      </c>
      <c r="M1032" s="1" t="str">
        <f>IF(ISBLANK(Data[[#This Row],[EndDate]]),"Active","InActive")</f>
        <v>Active</v>
      </c>
      <c r="N1032" t="s">
        <v>20</v>
      </c>
      <c r="O1032" t="s">
        <v>75</v>
      </c>
      <c r="P1032" t="s">
        <v>22</v>
      </c>
      <c r="Q1032" s="2">
        <v>13895</v>
      </c>
    </row>
    <row r="1033" spans="1:17" x14ac:dyDescent="0.2">
      <c r="A1033" s="1">
        <v>43435</v>
      </c>
      <c r="B1033">
        <v>51010</v>
      </c>
      <c r="C1033" t="s">
        <v>80</v>
      </c>
      <c r="D1033" t="s">
        <v>15</v>
      </c>
      <c r="E1033" t="s">
        <v>70</v>
      </c>
      <c r="F1033" s="5">
        <v>35</v>
      </c>
      <c r="G1033" t="str">
        <f>IF(Data[[#This Row],[Age]]&lt;25,"Under 25",IF(Data[[#This Row],[Age]]&lt;35,"25–34",IF(Data[[#This Row],[Age]]&lt;45,"35–44",IF(Data[[#This Row],[Age]]&lt;55,"45–54","55+"))))</f>
        <v>35–44</v>
      </c>
      <c r="H1033" t="s">
        <v>46</v>
      </c>
      <c r="I1033" t="s">
        <v>56</v>
      </c>
      <c r="J1033" t="s">
        <v>26</v>
      </c>
      <c r="K1033" s="1">
        <v>40030</v>
      </c>
      <c r="M1033" s="1" t="str">
        <f>IF(ISBLANK(Data[[#This Row],[EndDate]]),"Active","InActive")</f>
        <v>Active</v>
      </c>
      <c r="N1033" t="s">
        <v>57</v>
      </c>
      <c r="O1033" t="s">
        <v>75</v>
      </c>
      <c r="P1033" t="s">
        <v>40</v>
      </c>
      <c r="Q1033" s="2">
        <v>4165</v>
      </c>
    </row>
    <row r="1034" spans="1:17" x14ac:dyDescent="0.2">
      <c r="A1034" s="1">
        <v>43435</v>
      </c>
      <c r="B1034">
        <v>52292</v>
      </c>
      <c r="C1034" t="s">
        <v>80</v>
      </c>
      <c r="D1034" t="s">
        <v>43</v>
      </c>
      <c r="E1034" t="s">
        <v>66</v>
      </c>
      <c r="F1034" s="5">
        <v>35</v>
      </c>
      <c r="G1034" t="str">
        <f>IF(Data[[#This Row],[Age]]&lt;25,"Under 25",IF(Data[[#This Row],[Age]]&lt;35,"25–34",IF(Data[[#This Row],[Age]]&lt;45,"35–44",IF(Data[[#This Row],[Age]]&lt;55,"45–54","55+"))))</f>
        <v>35–44</v>
      </c>
      <c r="H1034" t="s">
        <v>31</v>
      </c>
      <c r="I1034" t="s">
        <v>56</v>
      </c>
      <c r="J1034" t="s">
        <v>26</v>
      </c>
      <c r="K1034" s="1">
        <v>38510</v>
      </c>
      <c r="M1034" s="1" t="str">
        <f>IF(ISBLANK(Data[[#This Row],[EndDate]]),"Active","InActive")</f>
        <v>Active</v>
      </c>
      <c r="N1034" t="s">
        <v>57</v>
      </c>
      <c r="O1034" t="s">
        <v>75</v>
      </c>
      <c r="P1034" t="s">
        <v>40</v>
      </c>
      <c r="Q1034" s="2">
        <v>28490</v>
      </c>
    </row>
    <row r="1035" spans="1:17" x14ac:dyDescent="0.2">
      <c r="A1035" s="1">
        <v>42705</v>
      </c>
      <c r="B1035">
        <v>116758</v>
      </c>
      <c r="C1035" t="s">
        <v>80</v>
      </c>
      <c r="D1035" t="s">
        <v>41</v>
      </c>
      <c r="E1035" t="s">
        <v>62</v>
      </c>
      <c r="F1035" s="5">
        <v>35</v>
      </c>
      <c r="G1035" t="str">
        <f>IF(Data[[#This Row],[Age]]&lt;25,"Under 25",IF(Data[[#This Row],[Age]]&lt;35,"25–34",IF(Data[[#This Row],[Age]]&lt;45,"35–44",IF(Data[[#This Row],[Age]]&lt;55,"45–54","55+"))))</f>
        <v>35–44</v>
      </c>
      <c r="H1035" t="s">
        <v>49</v>
      </c>
      <c r="I1035" t="s">
        <v>56</v>
      </c>
      <c r="J1035" t="s">
        <v>37</v>
      </c>
      <c r="K1035" s="1">
        <v>41241</v>
      </c>
      <c r="M1035" s="1" t="str">
        <f>IF(ISBLANK(Data[[#This Row],[EndDate]]),"Active","InActive")</f>
        <v>Active</v>
      </c>
      <c r="N1035" t="s">
        <v>57</v>
      </c>
      <c r="O1035" t="s">
        <v>75</v>
      </c>
      <c r="P1035" t="s">
        <v>22</v>
      </c>
      <c r="Q1035" s="2">
        <v>9065</v>
      </c>
    </row>
    <row r="1036" spans="1:17" x14ac:dyDescent="0.2">
      <c r="A1036" s="1">
        <v>43435</v>
      </c>
      <c r="B1036">
        <v>52010</v>
      </c>
      <c r="C1036" t="s">
        <v>80</v>
      </c>
      <c r="D1036" t="s">
        <v>29</v>
      </c>
      <c r="E1036" t="s">
        <v>36</v>
      </c>
      <c r="F1036" s="5">
        <v>35</v>
      </c>
      <c r="G1036" t="str">
        <f>IF(Data[[#This Row],[Age]]&lt;25,"Under 25",IF(Data[[#This Row],[Age]]&lt;35,"25–34",IF(Data[[#This Row],[Age]]&lt;45,"35–44",IF(Data[[#This Row],[Age]]&lt;55,"45–54","55+"))))</f>
        <v>35–44</v>
      </c>
      <c r="H1036" t="s">
        <v>25</v>
      </c>
      <c r="I1036" t="s">
        <v>18</v>
      </c>
      <c r="J1036" t="s">
        <v>37</v>
      </c>
      <c r="K1036" s="1">
        <v>37742</v>
      </c>
      <c r="M1036" s="1" t="str">
        <f>IF(ISBLANK(Data[[#This Row],[EndDate]]),"Active","InActive")</f>
        <v>Active</v>
      </c>
      <c r="N1036" t="s">
        <v>20</v>
      </c>
      <c r="O1036" t="s">
        <v>75</v>
      </c>
      <c r="P1036" t="s">
        <v>40</v>
      </c>
      <c r="Q1036" s="2">
        <v>11480</v>
      </c>
    </row>
    <row r="1037" spans="1:17" x14ac:dyDescent="0.2">
      <c r="A1037" s="1">
        <v>42705</v>
      </c>
      <c r="B1037">
        <v>40488</v>
      </c>
      <c r="C1037" t="s">
        <v>80</v>
      </c>
      <c r="D1037" t="s">
        <v>43</v>
      </c>
      <c r="E1037" t="s">
        <v>44</v>
      </c>
      <c r="F1037" s="5">
        <v>35</v>
      </c>
      <c r="G1037" t="str">
        <f>IF(Data[[#This Row],[Age]]&lt;25,"Under 25",IF(Data[[#This Row],[Age]]&lt;35,"25–34",IF(Data[[#This Row],[Age]]&lt;45,"35–44",IF(Data[[#This Row],[Age]]&lt;55,"45–54","55+"))))</f>
        <v>35–44</v>
      </c>
      <c r="H1037" t="s">
        <v>31</v>
      </c>
      <c r="I1037" t="s">
        <v>56</v>
      </c>
      <c r="J1037" t="s">
        <v>37</v>
      </c>
      <c r="K1037" s="1">
        <v>40686</v>
      </c>
      <c r="M1037" s="1" t="str">
        <f>IF(ISBLANK(Data[[#This Row],[EndDate]]),"Active","InActive")</f>
        <v>Active</v>
      </c>
      <c r="N1037" t="s">
        <v>57</v>
      </c>
      <c r="O1037" t="s">
        <v>75</v>
      </c>
      <c r="P1037" t="s">
        <v>22</v>
      </c>
      <c r="Q1037" s="2">
        <v>28945</v>
      </c>
    </row>
    <row r="1038" spans="1:17" x14ac:dyDescent="0.2">
      <c r="A1038" s="1">
        <v>43070</v>
      </c>
      <c r="B1038">
        <v>43432</v>
      </c>
      <c r="C1038" t="s">
        <v>79</v>
      </c>
      <c r="D1038" t="s">
        <v>47</v>
      </c>
      <c r="E1038" t="s">
        <v>64</v>
      </c>
      <c r="F1038" s="5">
        <v>35</v>
      </c>
      <c r="G1038" t="str">
        <f>IF(Data[[#This Row],[Age]]&lt;25,"Under 25",IF(Data[[#This Row],[Age]]&lt;35,"25–34",IF(Data[[#This Row],[Age]]&lt;45,"35–44",IF(Data[[#This Row],[Age]]&lt;55,"45–54","55+"))))</f>
        <v>35–44</v>
      </c>
      <c r="H1038" t="s">
        <v>59</v>
      </c>
      <c r="I1038" t="s">
        <v>56</v>
      </c>
      <c r="J1038" t="s">
        <v>37</v>
      </c>
      <c r="K1038" s="1">
        <v>40612</v>
      </c>
      <c r="M1038" s="1" t="str">
        <f>IF(ISBLANK(Data[[#This Row],[EndDate]]),"Active","InActive")</f>
        <v>Active</v>
      </c>
      <c r="N1038" t="s">
        <v>57</v>
      </c>
      <c r="O1038" t="s">
        <v>75</v>
      </c>
      <c r="P1038" t="s">
        <v>32</v>
      </c>
      <c r="Q1038" s="2">
        <v>32060</v>
      </c>
    </row>
    <row r="1039" spans="1:17" x14ac:dyDescent="0.2">
      <c r="A1039" s="1">
        <v>43070</v>
      </c>
      <c r="B1039">
        <v>1966</v>
      </c>
      <c r="C1039" t="s">
        <v>80</v>
      </c>
      <c r="D1039" t="s">
        <v>41</v>
      </c>
      <c r="E1039" t="s">
        <v>62</v>
      </c>
      <c r="F1039" s="5">
        <v>35</v>
      </c>
      <c r="G1039" t="str">
        <f>IF(Data[[#This Row],[Age]]&lt;25,"Under 25",IF(Data[[#This Row],[Age]]&lt;35,"25–34",IF(Data[[#This Row],[Age]]&lt;45,"35–44",IF(Data[[#This Row],[Age]]&lt;55,"45–54","55+"))))</f>
        <v>35–44</v>
      </c>
      <c r="H1039" t="s">
        <v>49</v>
      </c>
      <c r="I1039" t="s">
        <v>18</v>
      </c>
      <c r="J1039" t="s">
        <v>37</v>
      </c>
      <c r="K1039" s="1">
        <v>41160</v>
      </c>
      <c r="M1039" s="1" t="str">
        <f>IF(ISBLANK(Data[[#This Row],[EndDate]]),"Active","InActive")</f>
        <v>Active</v>
      </c>
      <c r="N1039" t="s">
        <v>20</v>
      </c>
      <c r="O1039" t="s">
        <v>75</v>
      </c>
      <c r="P1039" t="s">
        <v>32</v>
      </c>
      <c r="Q1039" s="2">
        <v>5110</v>
      </c>
    </row>
    <row r="1040" spans="1:17" x14ac:dyDescent="0.2">
      <c r="A1040" s="1">
        <v>43070</v>
      </c>
      <c r="B1040">
        <v>50378</v>
      </c>
      <c r="C1040" t="s">
        <v>79</v>
      </c>
      <c r="D1040" t="s">
        <v>47</v>
      </c>
      <c r="E1040" t="s">
        <v>64</v>
      </c>
      <c r="F1040" s="5">
        <v>35</v>
      </c>
      <c r="G1040" t="str">
        <f>IF(Data[[#This Row],[Age]]&lt;25,"Under 25",IF(Data[[#This Row],[Age]]&lt;35,"25–34",IF(Data[[#This Row],[Age]]&lt;45,"35–44",IF(Data[[#This Row],[Age]]&lt;55,"45–54","55+"))))</f>
        <v>35–44</v>
      </c>
      <c r="H1040" t="s">
        <v>49</v>
      </c>
      <c r="I1040" t="s">
        <v>56</v>
      </c>
      <c r="J1040" t="s">
        <v>37</v>
      </c>
      <c r="K1040" s="1">
        <v>41159</v>
      </c>
      <c r="M1040" s="1" t="str">
        <f>IF(ISBLANK(Data[[#This Row],[EndDate]]),"Active","InActive")</f>
        <v>Active</v>
      </c>
      <c r="N1040" t="s">
        <v>57</v>
      </c>
      <c r="O1040" t="s">
        <v>75</v>
      </c>
      <c r="P1040" t="s">
        <v>32</v>
      </c>
      <c r="Q1040" s="2">
        <v>28665</v>
      </c>
    </row>
    <row r="1041" spans="1:17" x14ac:dyDescent="0.2">
      <c r="A1041" s="1">
        <v>43435</v>
      </c>
      <c r="B1041">
        <v>53004</v>
      </c>
      <c r="C1041" t="s">
        <v>80</v>
      </c>
      <c r="D1041" t="s">
        <v>41</v>
      </c>
      <c r="E1041" t="s">
        <v>62</v>
      </c>
      <c r="F1041" s="5">
        <v>35</v>
      </c>
      <c r="G1041" t="str">
        <f>IF(Data[[#This Row],[Age]]&lt;25,"Under 25",IF(Data[[#This Row],[Age]]&lt;35,"25–34",IF(Data[[#This Row],[Age]]&lt;45,"35–44",IF(Data[[#This Row],[Age]]&lt;55,"45–54","55+"))))</f>
        <v>35–44</v>
      </c>
      <c r="H1041" t="s">
        <v>49</v>
      </c>
      <c r="I1041" t="s">
        <v>56</v>
      </c>
      <c r="J1041" t="s">
        <v>37</v>
      </c>
      <c r="K1041" s="1">
        <v>36125</v>
      </c>
      <c r="M1041" s="1" t="str">
        <f>IF(ISBLANK(Data[[#This Row],[EndDate]]),"Active","InActive")</f>
        <v>Active</v>
      </c>
      <c r="N1041" t="s">
        <v>57</v>
      </c>
      <c r="O1041" t="s">
        <v>75</v>
      </c>
      <c r="P1041" t="s">
        <v>40</v>
      </c>
      <c r="Q1041" s="2">
        <v>18795</v>
      </c>
    </row>
    <row r="1042" spans="1:17" x14ac:dyDescent="0.2">
      <c r="A1042" s="1">
        <v>43070</v>
      </c>
      <c r="B1042">
        <v>51146</v>
      </c>
      <c r="C1042" t="s">
        <v>79</v>
      </c>
      <c r="D1042" t="s">
        <v>47</v>
      </c>
      <c r="E1042" t="s">
        <v>64</v>
      </c>
      <c r="F1042" s="5">
        <v>35</v>
      </c>
      <c r="G1042" t="str">
        <f>IF(Data[[#This Row],[Age]]&lt;25,"Under 25",IF(Data[[#This Row],[Age]]&lt;35,"25–34",IF(Data[[#This Row],[Age]]&lt;45,"35–44",IF(Data[[#This Row],[Age]]&lt;55,"45–54","55+"))))</f>
        <v>35–44</v>
      </c>
      <c r="H1042" t="s">
        <v>31</v>
      </c>
      <c r="I1042" t="s">
        <v>56</v>
      </c>
      <c r="J1042" t="s">
        <v>35</v>
      </c>
      <c r="K1042" s="1">
        <v>34874</v>
      </c>
      <c r="M1042" s="1" t="str">
        <f>IF(ISBLANK(Data[[#This Row],[EndDate]]),"Active","InActive")</f>
        <v>Active</v>
      </c>
      <c r="N1042" t="s">
        <v>57</v>
      </c>
      <c r="O1042" t="s">
        <v>75</v>
      </c>
      <c r="P1042" t="s">
        <v>32</v>
      </c>
      <c r="Q1042" s="2">
        <v>15330</v>
      </c>
    </row>
    <row r="1043" spans="1:17" x14ac:dyDescent="0.2">
      <c r="A1043" s="1">
        <v>43435</v>
      </c>
      <c r="B1043">
        <v>49698</v>
      </c>
      <c r="C1043" t="s">
        <v>79</v>
      </c>
      <c r="D1043" t="s">
        <v>15</v>
      </c>
      <c r="E1043" t="s">
        <v>16</v>
      </c>
      <c r="F1043" s="5">
        <v>35</v>
      </c>
      <c r="G1043" t="str">
        <f>IF(Data[[#This Row],[Age]]&lt;25,"Under 25",IF(Data[[#This Row],[Age]]&lt;35,"25–34",IF(Data[[#This Row],[Age]]&lt;45,"35–44",IF(Data[[#This Row],[Age]]&lt;55,"45–54","55+"))))</f>
        <v>35–44</v>
      </c>
      <c r="H1043" t="s">
        <v>25</v>
      </c>
      <c r="I1043" t="s">
        <v>18</v>
      </c>
      <c r="J1043" t="s">
        <v>35</v>
      </c>
      <c r="K1043" s="1">
        <v>41935</v>
      </c>
      <c r="M1043" s="1" t="str">
        <f>IF(ISBLANK(Data[[#This Row],[EndDate]]),"Active","InActive")</f>
        <v>Active</v>
      </c>
      <c r="N1043" t="s">
        <v>20</v>
      </c>
      <c r="O1043" t="s">
        <v>75</v>
      </c>
      <c r="P1043" t="s">
        <v>40</v>
      </c>
      <c r="Q1043" s="2">
        <v>30485</v>
      </c>
    </row>
    <row r="1044" spans="1:17" x14ac:dyDescent="0.2">
      <c r="A1044" s="1">
        <v>43435</v>
      </c>
      <c r="B1044">
        <v>54752</v>
      </c>
      <c r="C1044" t="s">
        <v>80</v>
      </c>
      <c r="D1044" t="s">
        <v>29</v>
      </c>
      <c r="E1044" t="s">
        <v>36</v>
      </c>
      <c r="F1044" s="5">
        <v>35</v>
      </c>
      <c r="G1044" t="str">
        <f>IF(Data[[#This Row],[Age]]&lt;25,"Under 25",IF(Data[[#This Row],[Age]]&lt;35,"25–34",IF(Data[[#This Row],[Age]]&lt;45,"35–44",IF(Data[[#This Row],[Age]]&lt;55,"45–54","55+"))))</f>
        <v>35–44</v>
      </c>
      <c r="H1044" t="s">
        <v>49</v>
      </c>
      <c r="I1044" t="s">
        <v>18</v>
      </c>
      <c r="J1044" t="s">
        <v>19</v>
      </c>
      <c r="K1044" s="1">
        <v>41949</v>
      </c>
      <c r="M1044" s="1" t="str">
        <f>IF(ISBLANK(Data[[#This Row],[EndDate]]),"Active","InActive")</f>
        <v>Active</v>
      </c>
      <c r="N1044" t="s">
        <v>20</v>
      </c>
      <c r="O1044" t="s">
        <v>75</v>
      </c>
      <c r="P1044" t="s">
        <v>40</v>
      </c>
      <c r="Q1044" s="2">
        <v>13475</v>
      </c>
    </row>
    <row r="1045" spans="1:17" x14ac:dyDescent="0.2">
      <c r="A1045" s="1">
        <v>42705</v>
      </c>
      <c r="B1045">
        <v>92302</v>
      </c>
      <c r="C1045" t="s">
        <v>80</v>
      </c>
      <c r="D1045" t="s">
        <v>52</v>
      </c>
      <c r="E1045" t="s">
        <v>69</v>
      </c>
      <c r="F1045" s="5">
        <v>35</v>
      </c>
      <c r="G1045" t="str">
        <f>IF(Data[[#This Row],[Age]]&lt;25,"Under 25",IF(Data[[#This Row],[Age]]&lt;35,"25–34",IF(Data[[#This Row],[Age]]&lt;45,"35–44",IF(Data[[#This Row],[Age]]&lt;55,"45–54","55+"))))</f>
        <v>35–44</v>
      </c>
      <c r="H1045" t="s">
        <v>34</v>
      </c>
      <c r="I1045" t="s">
        <v>56</v>
      </c>
      <c r="J1045" t="s">
        <v>19</v>
      </c>
      <c r="K1045" s="1">
        <v>39508</v>
      </c>
      <c r="M1045" s="1" t="str">
        <f>IF(ISBLANK(Data[[#This Row],[EndDate]]),"Active","InActive")</f>
        <v>Active</v>
      </c>
      <c r="N1045" t="s">
        <v>57</v>
      </c>
      <c r="O1045" t="s">
        <v>75</v>
      </c>
      <c r="P1045" t="s">
        <v>22</v>
      </c>
      <c r="Q1045" s="2">
        <v>3570</v>
      </c>
    </row>
    <row r="1046" spans="1:17" x14ac:dyDescent="0.2">
      <c r="A1046" s="1">
        <v>43435</v>
      </c>
      <c r="B1046">
        <v>95740</v>
      </c>
      <c r="C1046" t="s">
        <v>80</v>
      </c>
      <c r="D1046" t="s">
        <v>43</v>
      </c>
      <c r="E1046" t="s">
        <v>66</v>
      </c>
      <c r="F1046" s="5">
        <v>35</v>
      </c>
      <c r="G1046" t="str">
        <f>IF(Data[[#This Row],[Age]]&lt;25,"Under 25",IF(Data[[#This Row],[Age]]&lt;35,"25–34",IF(Data[[#This Row],[Age]]&lt;45,"35–44",IF(Data[[#This Row],[Age]]&lt;55,"45–54","55+"))))</f>
        <v>35–44</v>
      </c>
      <c r="H1046" t="s">
        <v>34</v>
      </c>
      <c r="I1046" t="s">
        <v>56</v>
      </c>
      <c r="J1046" t="s">
        <v>19</v>
      </c>
      <c r="K1046" s="1">
        <v>39673</v>
      </c>
      <c r="M1046" s="1" t="str">
        <f>IF(ISBLANK(Data[[#This Row],[EndDate]]),"Active","InActive")</f>
        <v>Active</v>
      </c>
      <c r="N1046" t="s">
        <v>57</v>
      </c>
      <c r="O1046" t="s">
        <v>75</v>
      </c>
      <c r="P1046" t="s">
        <v>40</v>
      </c>
      <c r="Q1046" s="2">
        <v>21980</v>
      </c>
    </row>
    <row r="1047" spans="1:17" x14ac:dyDescent="0.2">
      <c r="A1047" s="1">
        <v>42705</v>
      </c>
      <c r="B1047">
        <v>92328</v>
      </c>
      <c r="C1047" t="s">
        <v>79</v>
      </c>
      <c r="D1047" t="s">
        <v>50</v>
      </c>
      <c r="E1047" t="s">
        <v>55</v>
      </c>
      <c r="F1047" s="5">
        <v>35</v>
      </c>
      <c r="G1047" t="str">
        <f>IF(Data[[#This Row],[Age]]&lt;25,"Under 25",IF(Data[[#This Row],[Age]]&lt;35,"25–34",IF(Data[[#This Row],[Age]]&lt;45,"35–44",IF(Data[[#This Row],[Age]]&lt;55,"45–54","55+"))))</f>
        <v>35–44</v>
      </c>
      <c r="H1047" t="s">
        <v>49</v>
      </c>
      <c r="I1047" t="s">
        <v>56</v>
      </c>
      <c r="J1047" t="s">
        <v>19</v>
      </c>
      <c r="K1047" s="1">
        <v>39848</v>
      </c>
      <c r="M1047" s="1" t="str">
        <f>IF(ISBLANK(Data[[#This Row],[EndDate]]),"Active","InActive")</f>
        <v>Active</v>
      </c>
      <c r="N1047" t="s">
        <v>57</v>
      </c>
      <c r="O1047" t="s">
        <v>75</v>
      </c>
      <c r="P1047" t="s">
        <v>22</v>
      </c>
      <c r="Q1047" s="2">
        <v>32830</v>
      </c>
    </row>
    <row r="1048" spans="1:17" x14ac:dyDescent="0.2">
      <c r="A1048" s="1">
        <v>42705</v>
      </c>
      <c r="B1048">
        <v>97344</v>
      </c>
      <c r="C1048" t="s">
        <v>79</v>
      </c>
      <c r="D1048" t="s">
        <v>47</v>
      </c>
      <c r="E1048" t="s">
        <v>73</v>
      </c>
      <c r="F1048" s="5">
        <v>35</v>
      </c>
      <c r="G1048" t="str">
        <f>IF(Data[[#This Row],[Age]]&lt;25,"Under 25",IF(Data[[#This Row],[Age]]&lt;35,"25–34",IF(Data[[#This Row],[Age]]&lt;45,"35–44",IF(Data[[#This Row],[Age]]&lt;55,"45–54","55+"))))</f>
        <v>35–44</v>
      </c>
      <c r="H1048" t="s">
        <v>25</v>
      </c>
      <c r="I1048" t="s">
        <v>56</v>
      </c>
      <c r="J1048" t="s">
        <v>19</v>
      </c>
      <c r="K1048" s="1">
        <v>37679</v>
      </c>
      <c r="M1048" s="1" t="str">
        <f>IF(ISBLANK(Data[[#This Row],[EndDate]]),"Active","InActive")</f>
        <v>Active</v>
      </c>
      <c r="N1048" t="s">
        <v>57</v>
      </c>
      <c r="O1048" t="s">
        <v>75</v>
      </c>
      <c r="P1048" t="s">
        <v>22</v>
      </c>
      <c r="Q1048" s="2">
        <v>26670</v>
      </c>
    </row>
    <row r="1049" spans="1:17" x14ac:dyDescent="0.2">
      <c r="A1049" s="1">
        <v>43070</v>
      </c>
      <c r="B1049">
        <v>96764</v>
      </c>
      <c r="C1049" t="s">
        <v>79</v>
      </c>
      <c r="D1049" t="s">
        <v>52</v>
      </c>
      <c r="E1049" t="s">
        <v>53</v>
      </c>
      <c r="F1049" s="5">
        <v>35</v>
      </c>
      <c r="G1049" t="str">
        <f>IF(Data[[#This Row],[Age]]&lt;25,"Under 25",IF(Data[[#This Row],[Age]]&lt;35,"25–34",IF(Data[[#This Row],[Age]]&lt;45,"35–44",IF(Data[[#This Row],[Age]]&lt;55,"45–54","55+"))))</f>
        <v>35–44</v>
      </c>
      <c r="H1049" t="s">
        <v>34</v>
      </c>
      <c r="I1049" t="s">
        <v>56</v>
      </c>
      <c r="J1049" t="s">
        <v>19</v>
      </c>
      <c r="K1049" s="1">
        <v>37085</v>
      </c>
      <c r="M1049" s="1" t="str">
        <f>IF(ISBLANK(Data[[#This Row],[EndDate]]),"Active","InActive")</f>
        <v>Active</v>
      </c>
      <c r="N1049" t="s">
        <v>57</v>
      </c>
      <c r="O1049" t="s">
        <v>75</v>
      </c>
      <c r="P1049" t="s">
        <v>32</v>
      </c>
      <c r="Q1049" s="2">
        <v>11025</v>
      </c>
    </row>
    <row r="1050" spans="1:17" x14ac:dyDescent="0.2">
      <c r="A1050" s="1">
        <v>42705</v>
      </c>
      <c r="B1050">
        <v>95762</v>
      </c>
      <c r="C1050" t="s">
        <v>79</v>
      </c>
      <c r="D1050" t="s">
        <v>41</v>
      </c>
      <c r="E1050" t="s">
        <v>62</v>
      </c>
      <c r="F1050" s="5">
        <v>35</v>
      </c>
      <c r="G1050" t="str">
        <f>IF(Data[[#This Row],[Age]]&lt;25,"Under 25",IF(Data[[#This Row],[Age]]&lt;35,"25–34",IF(Data[[#This Row],[Age]]&lt;45,"35–44",IF(Data[[#This Row],[Age]]&lt;55,"45–54","55+"))))</f>
        <v>35–44</v>
      </c>
      <c r="H1050" t="s">
        <v>31</v>
      </c>
      <c r="I1050" t="s">
        <v>56</v>
      </c>
      <c r="J1050" t="s">
        <v>19</v>
      </c>
      <c r="K1050" s="1">
        <v>39687</v>
      </c>
      <c r="M1050" s="1" t="str">
        <f>IF(ISBLANK(Data[[#This Row],[EndDate]]),"Active","InActive")</f>
        <v>Active</v>
      </c>
      <c r="N1050" t="s">
        <v>57</v>
      </c>
      <c r="O1050" t="s">
        <v>75</v>
      </c>
      <c r="P1050" t="s">
        <v>22</v>
      </c>
      <c r="Q1050" s="2">
        <v>24360</v>
      </c>
    </row>
    <row r="1051" spans="1:17" x14ac:dyDescent="0.2">
      <c r="A1051" s="1">
        <v>42705</v>
      </c>
      <c r="B1051">
        <v>52970</v>
      </c>
      <c r="C1051" t="s">
        <v>80</v>
      </c>
      <c r="D1051" t="s">
        <v>23</v>
      </c>
      <c r="E1051" t="s">
        <v>65</v>
      </c>
      <c r="F1051" s="5">
        <v>36</v>
      </c>
      <c r="G1051" t="str">
        <f>IF(Data[[#This Row],[Age]]&lt;25,"Under 25",IF(Data[[#This Row],[Age]]&lt;35,"25–34",IF(Data[[#This Row],[Age]]&lt;45,"35–44",IF(Data[[#This Row],[Age]]&lt;55,"45–54","55+"))))</f>
        <v>35–44</v>
      </c>
      <c r="H1051" t="s">
        <v>49</v>
      </c>
      <c r="I1051" t="s">
        <v>56</v>
      </c>
      <c r="J1051" t="s">
        <v>37</v>
      </c>
      <c r="K1051" s="1">
        <v>35350</v>
      </c>
      <c r="M1051" s="1" t="str">
        <f>IF(ISBLANK(Data[[#This Row],[EndDate]]),"Active","InActive")</f>
        <v>Active</v>
      </c>
      <c r="N1051" t="s">
        <v>57</v>
      </c>
      <c r="O1051" t="s">
        <v>75</v>
      </c>
      <c r="P1051" t="s">
        <v>22</v>
      </c>
      <c r="Q1051" s="2">
        <v>12168</v>
      </c>
    </row>
    <row r="1052" spans="1:17" x14ac:dyDescent="0.2">
      <c r="A1052" s="1">
        <v>42705</v>
      </c>
      <c r="B1052">
        <v>54372</v>
      </c>
      <c r="C1052" t="s">
        <v>79</v>
      </c>
      <c r="D1052" t="s">
        <v>47</v>
      </c>
      <c r="E1052" t="s">
        <v>73</v>
      </c>
      <c r="F1052" s="5">
        <v>36</v>
      </c>
      <c r="G1052" t="str">
        <f>IF(Data[[#This Row],[Age]]&lt;25,"Under 25",IF(Data[[#This Row],[Age]]&lt;35,"25–34",IF(Data[[#This Row],[Age]]&lt;45,"35–44",IF(Data[[#This Row],[Age]]&lt;55,"45–54","55+"))))</f>
        <v>35–44</v>
      </c>
      <c r="H1052" t="s">
        <v>17</v>
      </c>
      <c r="I1052" t="s">
        <v>56</v>
      </c>
      <c r="J1052" t="s">
        <v>37</v>
      </c>
      <c r="K1052" s="1">
        <v>40918</v>
      </c>
      <c r="M1052" s="1" t="str">
        <f>IF(ISBLANK(Data[[#This Row],[EndDate]]),"Active","InActive")</f>
        <v>Active</v>
      </c>
      <c r="N1052" t="s">
        <v>57</v>
      </c>
      <c r="O1052" t="s">
        <v>75</v>
      </c>
      <c r="P1052" t="s">
        <v>22</v>
      </c>
      <c r="Q1052" s="2">
        <v>34272</v>
      </c>
    </row>
    <row r="1053" spans="1:17" x14ac:dyDescent="0.2">
      <c r="A1053" s="1">
        <v>43070</v>
      </c>
      <c r="B1053">
        <v>52968</v>
      </c>
      <c r="C1053" t="s">
        <v>80</v>
      </c>
      <c r="D1053" t="s">
        <v>23</v>
      </c>
      <c r="E1053" t="s">
        <v>71</v>
      </c>
      <c r="F1053" s="5">
        <v>36</v>
      </c>
      <c r="G1053" t="str">
        <f>IF(Data[[#This Row],[Age]]&lt;25,"Under 25",IF(Data[[#This Row],[Age]]&lt;35,"25–34",IF(Data[[#This Row],[Age]]&lt;45,"35–44",IF(Data[[#This Row],[Age]]&lt;55,"45–54","55+"))))</f>
        <v>35–44</v>
      </c>
      <c r="H1053" t="s">
        <v>25</v>
      </c>
      <c r="I1053" t="s">
        <v>56</v>
      </c>
      <c r="J1053" t="s">
        <v>37</v>
      </c>
      <c r="K1053" s="1">
        <v>39169</v>
      </c>
      <c r="M1053" s="1" t="str">
        <f>IF(ISBLANK(Data[[#This Row],[EndDate]]),"Active","InActive")</f>
        <v>Active</v>
      </c>
      <c r="N1053" t="s">
        <v>57</v>
      </c>
      <c r="O1053" t="s">
        <v>75</v>
      </c>
      <c r="P1053" t="s">
        <v>32</v>
      </c>
      <c r="Q1053" s="2">
        <v>27828</v>
      </c>
    </row>
    <row r="1054" spans="1:17" x14ac:dyDescent="0.2">
      <c r="A1054" s="1">
        <v>42705</v>
      </c>
      <c r="B1054">
        <v>53368</v>
      </c>
      <c r="C1054" t="s">
        <v>79</v>
      </c>
      <c r="D1054" t="s">
        <v>41</v>
      </c>
      <c r="E1054" t="s">
        <v>62</v>
      </c>
      <c r="F1054" s="5">
        <v>36</v>
      </c>
      <c r="G1054" t="str">
        <f>IF(Data[[#This Row],[Age]]&lt;25,"Under 25",IF(Data[[#This Row],[Age]]&lt;35,"25–34",IF(Data[[#This Row],[Age]]&lt;45,"35–44",IF(Data[[#This Row],[Age]]&lt;55,"45–54","55+"))))</f>
        <v>35–44</v>
      </c>
      <c r="H1054" t="s">
        <v>17</v>
      </c>
      <c r="I1054" t="s">
        <v>56</v>
      </c>
      <c r="J1054" t="s">
        <v>35</v>
      </c>
      <c r="K1054" s="1">
        <v>40991</v>
      </c>
      <c r="M1054" s="1" t="str">
        <f>IF(ISBLANK(Data[[#This Row],[EndDate]]),"Active","InActive")</f>
        <v>Active</v>
      </c>
      <c r="N1054" t="s">
        <v>57</v>
      </c>
      <c r="O1054" t="s">
        <v>75</v>
      </c>
      <c r="P1054" t="s">
        <v>22</v>
      </c>
      <c r="Q1054" s="2">
        <v>23868</v>
      </c>
    </row>
    <row r="1055" spans="1:17" x14ac:dyDescent="0.2">
      <c r="A1055" s="1">
        <v>42705</v>
      </c>
      <c r="B1055">
        <v>54306</v>
      </c>
      <c r="C1055" t="s">
        <v>80</v>
      </c>
      <c r="D1055" t="s">
        <v>27</v>
      </c>
      <c r="E1055" t="s">
        <v>74</v>
      </c>
      <c r="F1055" s="5">
        <v>36</v>
      </c>
      <c r="G1055" t="str">
        <f>IF(Data[[#This Row],[Age]]&lt;25,"Under 25",IF(Data[[#This Row],[Age]]&lt;35,"25–34",IF(Data[[#This Row],[Age]]&lt;45,"35–44",IF(Data[[#This Row],[Age]]&lt;55,"45–54","55+"))))</f>
        <v>35–44</v>
      </c>
      <c r="H1055" t="s">
        <v>31</v>
      </c>
      <c r="I1055" t="s">
        <v>18</v>
      </c>
      <c r="J1055" t="s">
        <v>35</v>
      </c>
      <c r="K1055" s="1">
        <v>40828</v>
      </c>
      <c r="M1055" s="1" t="str">
        <f>IF(ISBLANK(Data[[#This Row],[EndDate]]),"Active","InActive")</f>
        <v>Active</v>
      </c>
      <c r="N1055" t="s">
        <v>20</v>
      </c>
      <c r="O1055" t="s">
        <v>75</v>
      </c>
      <c r="P1055" t="s">
        <v>22</v>
      </c>
      <c r="Q1055" s="2">
        <v>18540</v>
      </c>
    </row>
    <row r="1056" spans="1:17" x14ac:dyDescent="0.2">
      <c r="A1056" s="1">
        <v>43070</v>
      </c>
      <c r="B1056">
        <v>43058</v>
      </c>
      <c r="C1056" t="s">
        <v>80</v>
      </c>
      <c r="D1056" t="s">
        <v>15</v>
      </c>
      <c r="E1056" t="s">
        <v>58</v>
      </c>
      <c r="F1056" s="5">
        <v>36</v>
      </c>
      <c r="G1056" t="str">
        <f>IF(Data[[#This Row],[Age]]&lt;25,"Under 25",IF(Data[[#This Row],[Age]]&lt;35,"25–34",IF(Data[[#This Row],[Age]]&lt;45,"35–44",IF(Data[[#This Row],[Age]]&lt;55,"45–54","55+"))))</f>
        <v>35–44</v>
      </c>
      <c r="H1056" t="s">
        <v>59</v>
      </c>
      <c r="I1056" t="s">
        <v>18</v>
      </c>
      <c r="J1056" t="s">
        <v>35</v>
      </c>
      <c r="K1056" s="1">
        <v>41502</v>
      </c>
      <c r="M1056" s="1" t="str">
        <f>IF(ISBLANK(Data[[#This Row],[EndDate]]),"Active","InActive")</f>
        <v>Active</v>
      </c>
      <c r="N1056" t="s">
        <v>20</v>
      </c>
      <c r="O1056" t="s">
        <v>75</v>
      </c>
      <c r="P1056" t="s">
        <v>32</v>
      </c>
      <c r="Q1056" s="2">
        <v>30672</v>
      </c>
    </row>
    <row r="1057" spans="1:17" x14ac:dyDescent="0.2">
      <c r="A1057" s="1">
        <v>43070</v>
      </c>
      <c r="B1057">
        <v>53410</v>
      </c>
      <c r="C1057" t="s">
        <v>79</v>
      </c>
      <c r="D1057" t="s">
        <v>29</v>
      </c>
      <c r="E1057" t="s">
        <v>30</v>
      </c>
      <c r="F1057" s="5">
        <v>36</v>
      </c>
      <c r="G1057" t="str">
        <f>IF(Data[[#This Row],[Age]]&lt;25,"Under 25",IF(Data[[#This Row],[Age]]&lt;35,"25–34",IF(Data[[#This Row],[Age]]&lt;45,"35–44",IF(Data[[#This Row],[Age]]&lt;55,"45–54","55+"))))</f>
        <v>35–44</v>
      </c>
      <c r="H1057" t="s">
        <v>17</v>
      </c>
      <c r="I1057" t="s">
        <v>56</v>
      </c>
      <c r="J1057" t="s">
        <v>35</v>
      </c>
      <c r="K1057" s="1">
        <v>41586</v>
      </c>
      <c r="M1057" s="1" t="str">
        <f>IF(ISBLANK(Data[[#This Row],[EndDate]]),"Active","InActive")</f>
        <v>Active</v>
      </c>
      <c r="N1057" t="s">
        <v>57</v>
      </c>
      <c r="O1057" t="s">
        <v>75</v>
      </c>
      <c r="P1057" t="s">
        <v>32</v>
      </c>
      <c r="Q1057" s="2">
        <v>13212</v>
      </c>
    </row>
    <row r="1058" spans="1:17" x14ac:dyDescent="0.2">
      <c r="A1058" s="1">
        <v>43070</v>
      </c>
      <c r="B1058">
        <v>41042</v>
      </c>
      <c r="C1058" t="s">
        <v>79</v>
      </c>
      <c r="D1058" t="s">
        <v>29</v>
      </c>
      <c r="E1058" t="s">
        <v>36</v>
      </c>
      <c r="F1058" s="5">
        <v>36</v>
      </c>
      <c r="G1058" t="str">
        <f>IF(Data[[#This Row],[Age]]&lt;25,"Under 25",IF(Data[[#This Row],[Age]]&lt;35,"25–34",IF(Data[[#This Row],[Age]]&lt;45,"35–44",IF(Data[[#This Row],[Age]]&lt;55,"45–54","55+"))))</f>
        <v>35–44</v>
      </c>
      <c r="H1058" t="s">
        <v>31</v>
      </c>
      <c r="I1058" t="s">
        <v>18</v>
      </c>
      <c r="J1058" t="s">
        <v>37</v>
      </c>
      <c r="K1058" s="1">
        <v>41495</v>
      </c>
      <c r="M1058" s="1" t="str">
        <f>IF(ISBLANK(Data[[#This Row],[EndDate]]),"Active","InActive")</f>
        <v>Active</v>
      </c>
      <c r="N1058" t="s">
        <v>20</v>
      </c>
      <c r="O1058" t="s">
        <v>75</v>
      </c>
      <c r="P1058" t="s">
        <v>32</v>
      </c>
      <c r="Q1058" s="2">
        <v>17028</v>
      </c>
    </row>
    <row r="1059" spans="1:17" x14ac:dyDescent="0.2">
      <c r="A1059" s="1">
        <v>43435</v>
      </c>
      <c r="B1059">
        <v>52020</v>
      </c>
      <c r="C1059" t="s">
        <v>80</v>
      </c>
      <c r="D1059" t="s">
        <v>43</v>
      </c>
      <c r="E1059" t="s">
        <v>60</v>
      </c>
      <c r="F1059" s="5">
        <v>36</v>
      </c>
      <c r="G1059" t="str">
        <f>IF(Data[[#This Row],[Age]]&lt;25,"Under 25",IF(Data[[#This Row],[Age]]&lt;35,"25–34",IF(Data[[#This Row],[Age]]&lt;45,"35–44",IF(Data[[#This Row],[Age]]&lt;55,"45–54","55+"))))</f>
        <v>35–44</v>
      </c>
      <c r="H1059" t="s">
        <v>34</v>
      </c>
      <c r="I1059" t="s">
        <v>56</v>
      </c>
      <c r="J1059" t="s">
        <v>37</v>
      </c>
      <c r="K1059" s="1">
        <v>41676</v>
      </c>
      <c r="M1059" s="1" t="str">
        <f>IF(ISBLANK(Data[[#This Row],[EndDate]]),"Active","InActive")</f>
        <v>Active</v>
      </c>
      <c r="N1059" t="s">
        <v>57</v>
      </c>
      <c r="O1059" t="s">
        <v>75</v>
      </c>
      <c r="P1059" t="s">
        <v>40</v>
      </c>
      <c r="Q1059" s="2">
        <v>3708</v>
      </c>
    </row>
    <row r="1060" spans="1:17" x14ac:dyDescent="0.2">
      <c r="A1060" s="1">
        <v>43435</v>
      </c>
      <c r="B1060">
        <v>56440</v>
      </c>
      <c r="C1060" t="s">
        <v>80</v>
      </c>
      <c r="D1060" t="s">
        <v>50</v>
      </c>
      <c r="E1060" t="s">
        <v>63</v>
      </c>
      <c r="F1060" s="5">
        <v>36</v>
      </c>
      <c r="G1060" t="str">
        <f>IF(Data[[#This Row],[Age]]&lt;25,"Under 25",IF(Data[[#This Row],[Age]]&lt;35,"25–34",IF(Data[[#This Row],[Age]]&lt;45,"35–44",IF(Data[[#This Row],[Age]]&lt;55,"45–54","55+"))))</f>
        <v>35–44</v>
      </c>
      <c r="H1060" t="s">
        <v>34</v>
      </c>
      <c r="I1060" t="s">
        <v>18</v>
      </c>
      <c r="J1060" t="s">
        <v>37</v>
      </c>
      <c r="K1060" s="1">
        <v>41941</v>
      </c>
      <c r="M1060" s="1" t="str">
        <f>IF(ISBLANK(Data[[#This Row],[EndDate]]),"Active","InActive")</f>
        <v>Active</v>
      </c>
      <c r="N1060" t="s">
        <v>20</v>
      </c>
      <c r="O1060" t="s">
        <v>75</v>
      </c>
      <c r="P1060" t="s">
        <v>40</v>
      </c>
      <c r="Q1060" s="2">
        <v>14292</v>
      </c>
    </row>
    <row r="1061" spans="1:17" x14ac:dyDescent="0.2">
      <c r="A1061" s="1">
        <v>43070</v>
      </c>
      <c r="B1061">
        <v>40488</v>
      </c>
      <c r="C1061" t="s">
        <v>80</v>
      </c>
      <c r="D1061" t="s">
        <v>43</v>
      </c>
      <c r="E1061" t="s">
        <v>44</v>
      </c>
      <c r="F1061" s="5">
        <v>36</v>
      </c>
      <c r="G1061" t="str">
        <f>IF(Data[[#This Row],[Age]]&lt;25,"Under 25",IF(Data[[#This Row],[Age]]&lt;35,"25–34",IF(Data[[#This Row],[Age]]&lt;45,"35–44",IF(Data[[#This Row],[Age]]&lt;55,"45–54","55+"))))</f>
        <v>35–44</v>
      </c>
      <c r="H1061" t="s">
        <v>31</v>
      </c>
      <c r="I1061" t="s">
        <v>56</v>
      </c>
      <c r="J1061" t="s">
        <v>37</v>
      </c>
      <c r="K1061" s="1">
        <v>40686</v>
      </c>
      <c r="M1061" s="1" t="str">
        <f>IF(ISBLANK(Data[[#This Row],[EndDate]]),"Active","InActive")</f>
        <v>Active</v>
      </c>
      <c r="N1061" t="s">
        <v>57</v>
      </c>
      <c r="O1061" t="s">
        <v>75</v>
      </c>
      <c r="P1061" t="s">
        <v>32</v>
      </c>
      <c r="Q1061" s="2">
        <v>10728</v>
      </c>
    </row>
    <row r="1062" spans="1:17" x14ac:dyDescent="0.2">
      <c r="A1062" s="1">
        <v>43435</v>
      </c>
      <c r="B1062">
        <v>40728</v>
      </c>
      <c r="C1062" t="s">
        <v>79</v>
      </c>
      <c r="D1062" t="s">
        <v>50</v>
      </c>
      <c r="E1062" t="s">
        <v>51</v>
      </c>
      <c r="F1062" s="5">
        <v>36</v>
      </c>
      <c r="G1062" t="str">
        <f>IF(Data[[#This Row],[Age]]&lt;25,"Under 25",IF(Data[[#This Row],[Age]]&lt;35,"25–34",IF(Data[[#This Row],[Age]]&lt;45,"35–44",IF(Data[[#This Row],[Age]]&lt;55,"45–54","55+"))))</f>
        <v>35–44</v>
      </c>
      <c r="H1062" t="s">
        <v>59</v>
      </c>
      <c r="I1062" t="s">
        <v>18</v>
      </c>
      <c r="J1062" t="s">
        <v>37</v>
      </c>
      <c r="K1062" s="1">
        <v>41942</v>
      </c>
      <c r="M1062" s="1" t="str">
        <f>IF(ISBLANK(Data[[#This Row],[EndDate]]),"Active","InActive")</f>
        <v>Active</v>
      </c>
      <c r="N1062" t="s">
        <v>20</v>
      </c>
      <c r="O1062" t="s">
        <v>75</v>
      </c>
      <c r="P1062" t="s">
        <v>40</v>
      </c>
      <c r="Q1062" s="2">
        <v>11556</v>
      </c>
    </row>
    <row r="1063" spans="1:17" x14ac:dyDescent="0.2">
      <c r="A1063" s="1">
        <v>43435</v>
      </c>
      <c r="B1063">
        <v>43432</v>
      </c>
      <c r="C1063" t="s">
        <v>79</v>
      </c>
      <c r="D1063" t="s">
        <v>47</v>
      </c>
      <c r="E1063" t="s">
        <v>64</v>
      </c>
      <c r="F1063" s="5">
        <v>36</v>
      </c>
      <c r="G1063" t="str">
        <f>IF(Data[[#This Row],[Age]]&lt;25,"Under 25",IF(Data[[#This Row],[Age]]&lt;35,"25–34",IF(Data[[#This Row],[Age]]&lt;45,"35–44",IF(Data[[#This Row],[Age]]&lt;55,"45–54","55+"))))</f>
        <v>35–44</v>
      </c>
      <c r="H1063" t="s">
        <v>59</v>
      </c>
      <c r="I1063" t="s">
        <v>56</v>
      </c>
      <c r="J1063" t="s">
        <v>37</v>
      </c>
      <c r="K1063" s="1">
        <v>40612</v>
      </c>
      <c r="M1063" s="1" t="str">
        <f>IF(ISBLANK(Data[[#This Row],[EndDate]]),"Active","InActive")</f>
        <v>Active</v>
      </c>
      <c r="N1063" t="s">
        <v>57</v>
      </c>
      <c r="O1063" t="s">
        <v>75</v>
      </c>
      <c r="P1063" t="s">
        <v>40</v>
      </c>
      <c r="Q1063" s="2">
        <v>24624</v>
      </c>
    </row>
    <row r="1064" spans="1:17" x14ac:dyDescent="0.2">
      <c r="A1064" s="1">
        <v>43435</v>
      </c>
      <c r="B1064">
        <v>50378</v>
      </c>
      <c r="C1064" t="s">
        <v>79</v>
      </c>
      <c r="D1064" t="s">
        <v>47</v>
      </c>
      <c r="E1064" t="s">
        <v>64</v>
      </c>
      <c r="F1064" s="5">
        <v>36</v>
      </c>
      <c r="G1064" t="str">
        <f>IF(Data[[#This Row],[Age]]&lt;25,"Under 25",IF(Data[[#This Row],[Age]]&lt;35,"25–34",IF(Data[[#This Row],[Age]]&lt;45,"35–44",IF(Data[[#This Row],[Age]]&lt;55,"45–54","55+"))))</f>
        <v>35–44</v>
      </c>
      <c r="H1064" t="s">
        <v>49</v>
      </c>
      <c r="I1064" t="s">
        <v>56</v>
      </c>
      <c r="J1064" t="s">
        <v>37</v>
      </c>
      <c r="K1064" s="1">
        <v>41159</v>
      </c>
      <c r="M1064" s="1" t="str">
        <f>IF(ISBLANK(Data[[#This Row],[EndDate]]),"Active","InActive")</f>
        <v>Active</v>
      </c>
      <c r="N1064" t="s">
        <v>57</v>
      </c>
      <c r="O1064" t="s">
        <v>75</v>
      </c>
      <c r="P1064" t="s">
        <v>40</v>
      </c>
      <c r="Q1064" s="2">
        <v>16164</v>
      </c>
    </row>
    <row r="1065" spans="1:17" x14ac:dyDescent="0.2">
      <c r="A1065" s="1">
        <v>43435</v>
      </c>
      <c r="B1065">
        <v>49000</v>
      </c>
      <c r="C1065" t="s">
        <v>80</v>
      </c>
      <c r="D1065" t="s">
        <v>47</v>
      </c>
      <c r="E1065" t="s">
        <v>73</v>
      </c>
      <c r="F1065" s="5">
        <v>36</v>
      </c>
      <c r="G1065" t="str">
        <f>IF(Data[[#This Row],[Age]]&lt;25,"Under 25",IF(Data[[#This Row],[Age]]&lt;35,"25–34",IF(Data[[#This Row],[Age]]&lt;45,"35–44",IF(Data[[#This Row],[Age]]&lt;55,"45–54","55+"))))</f>
        <v>35–44</v>
      </c>
      <c r="H1065" t="s">
        <v>46</v>
      </c>
      <c r="I1065" t="s">
        <v>18</v>
      </c>
      <c r="J1065" t="s">
        <v>35</v>
      </c>
      <c r="K1065" s="1">
        <v>41913</v>
      </c>
      <c r="M1065" s="1" t="str">
        <f>IF(ISBLANK(Data[[#This Row],[EndDate]]),"Active","InActive")</f>
        <v>Active</v>
      </c>
      <c r="N1065" t="s">
        <v>20</v>
      </c>
      <c r="O1065" t="s">
        <v>75</v>
      </c>
      <c r="P1065" t="s">
        <v>40</v>
      </c>
      <c r="Q1065" s="2">
        <v>7056</v>
      </c>
    </row>
    <row r="1066" spans="1:17" x14ac:dyDescent="0.2">
      <c r="A1066" s="1">
        <v>43435</v>
      </c>
      <c r="B1066">
        <v>51146</v>
      </c>
      <c r="C1066" t="s">
        <v>79</v>
      </c>
      <c r="D1066" t="s">
        <v>47</v>
      </c>
      <c r="E1066" t="s">
        <v>64</v>
      </c>
      <c r="F1066" s="5">
        <v>36</v>
      </c>
      <c r="G1066" t="str">
        <f>IF(Data[[#This Row],[Age]]&lt;25,"Under 25",IF(Data[[#This Row],[Age]]&lt;35,"25–34",IF(Data[[#This Row],[Age]]&lt;45,"35–44",IF(Data[[#This Row],[Age]]&lt;55,"45–54","55+"))))</f>
        <v>35–44</v>
      </c>
      <c r="H1066" t="s">
        <v>31</v>
      </c>
      <c r="I1066" t="s">
        <v>56</v>
      </c>
      <c r="J1066" t="s">
        <v>35</v>
      </c>
      <c r="K1066" s="1">
        <v>34874</v>
      </c>
      <c r="M1066" s="1" t="str">
        <f>IF(ISBLANK(Data[[#This Row],[EndDate]]),"Active","InActive")</f>
        <v>Active</v>
      </c>
      <c r="N1066" t="s">
        <v>57</v>
      </c>
      <c r="O1066" t="s">
        <v>75</v>
      </c>
      <c r="P1066" t="s">
        <v>40</v>
      </c>
      <c r="Q1066" s="2">
        <v>28008</v>
      </c>
    </row>
    <row r="1067" spans="1:17" x14ac:dyDescent="0.2">
      <c r="A1067" s="1">
        <v>43070</v>
      </c>
      <c r="B1067">
        <v>95792</v>
      </c>
      <c r="C1067" t="s">
        <v>79</v>
      </c>
      <c r="D1067" t="s">
        <v>50</v>
      </c>
      <c r="E1067" t="s">
        <v>51</v>
      </c>
      <c r="F1067" s="5">
        <v>36</v>
      </c>
      <c r="G1067" t="str">
        <f>IF(Data[[#This Row],[Age]]&lt;25,"Under 25",IF(Data[[#This Row],[Age]]&lt;35,"25–34",IF(Data[[#This Row],[Age]]&lt;45,"35–44",IF(Data[[#This Row],[Age]]&lt;55,"45–54","55+"))))</f>
        <v>35–44</v>
      </c>
      <c r="H1067" t="s">
        <v>31</v>
      </c>
      <c r="I1067" t="s">
        <v>56</v>
      </c>
      <c r="J1067" t="s">
        <v>19</v>
      </c>
      <c r="K1067" s="1">
        <v>41513</v>
      </c>
      <c r="M1067" s="1" t="str">
        <f>IF(ISBLANK(Data[[#This Row],[EndDate]]),"Active","InActive")</f>
        <v>Active</v>
      </c>
      <c r="N1067" t="s">
        <v>57</v>
      </c>
      <c r="O1067" t="s">
        <v>75</v>
      </c>
      <c r="P1067" t="s">
        <v>32</v>
      </c>
      <c r="Q1067" s="2">
        <v>5544</v>
      </c>
    </row>
    <row r="1068" spans="1:17" x14ac:dyDescent="0.2">
      <c r="A1068" s="1">
        <v>43070</v>
      </c>
      <c r="B1068">
        <v>92302</v>
      </c>
      <c r="C1068" t="s">
        <v>80</v>
      </c>
      <c r="D1068" t="s">
        <v>52</v>
      </c>
      <c r="E1068" t="s">
        <v>69</v>
      </c>
      <c r="F1068" s="5">
        <v>36</v>
      </c>
      <c r="G1068" t="str">
        <f>IF(Data[[#This Row],[Age]]&lt;25,"Under 25",IF(Data[[#This Row],[Age]]&lt;35,"25–34",IF(Data[[#This Row],[Age]]&lt;45,"35–44",IF(Data[[#This Row],[Age]]&lt;55,"45–54","55+"))))</f>
        <v>35–44</v>
      </c>
      <c r="H1068" t="s">
        <v>34</v>
      </c>
      <c r="I1068" t="s">
        <v>56</v>
      </c>
      <c r="J1068" t="s">
        <v>19</v>
      </c>
      <c r="K1068" s="1">
        <v>39508</v>
      </c>
      <c r="M1068" s="1" t="str">
        <f>IF(ISBLANK(Data[[#This Row],[EndDate]]),"Active","InActive")</f>
        <v>Active</v>
      </c>
      <c r="N1068" t="s">
        <v>57</v>
      </c>
      <c r="O1068" t="s">
        <v>75</v>
      </c>
      <c r="P1068" t="s">
        <v>32</v>
      </c>
      <c r="Q1068" s="2">
        <v>25416</v>
      </c>
    </row>
    <row r="1069" spans="1:17" x14ac:dyDescent="0.2">
      <c r="A1069" s="1">
        <v>42705</v>
      </c>
      <c r="B1069">
        <v>92246</v>
      </c>
      <c r="C1069" t="s">
        <v>79</v>
      </c>
      <c r="D1069" t="s">
        <v>43</v>
      </c>
      <c r="E1069" t="s">
        <v>44</v>
      </c>
      <c r="F1069" s="5">
        <v>36</v>
      </c>
      <c r="G1069" t="str">
        <f>IF(Data[[#This Row],[Age]]&lt;25,"Under 25",IF(Data[[#This Row],[Age]]&lt;35,"25–34",IF(Data[[#This Row],[Age]]&lt;45,"35–44",IF(Data[[#This Row],[Age]]&lt;55,"45–54","55+"))))</f>
        <v>35–44</v>
      </c>
      <c r="H1069" t="s">
        <v>46</v>
      </c>
      <c r="I1069" t="s">
        <v>56</v>
      </c>
      <c r="J1069" t="s">
        <v>19</v>
      </c>
      <c r="K1069" s="1">
        <v>40456</v>
      </c>
      <c r="M1069" s="1" t="str">
        <f>IF(ISBLANK(Data[[#This Row],[EndDate]]),"Active","InActive")</f>
        <v>Active</v>
      </c>
      <c r="N1069" t="s">
        <v>57</v>
      </c>
      <c r="O1069" t="s">
        <v>75</v>
      </c>
      <c r="P1069" t="s">
        <v>22</v>
      </c>
      <c r="Q1069" s="2">
        <v>31644</v>
      </c>
    </row>
    <row r="1070" spans="1:17" x14ac:dyDescent="0.2">
      <c r="A1070" s="1">
        <v>43070</v>
      </c>
      <c r="B1070">
        <v>92328</v>
      </c>
      <c r="C1070" t="s">
        <v>79</v>
      </c>
      <c r="D1070" t="s">
        <v>50</v>
      </c>
      <c r="E1070" t="s">
        <v>55</v>
      </c>
      <c r="F1070" s="5">
        <v>36</v>
      </c>
      <c r="G1070" t="str">
        <f>IF(Data[[#This Row],[Age]]&lt;25,"Under 25",IF(Data[[#This Row],[Age]]&lt;35,"25–34",IF(Data[[#This Row],[Age]]&lt;45,"35–44",IF(Data[[#This Row],[Age]]&lt;55,"45–54","55+"))))</f>
        <v>35–44</v>
      </c>
      <c r="H1070" t="s">
        <v>49</v>
      </c>
      <c r="I1070" t="s">
        <v>56</v>
      </c>
      <c r="J1070" t="s">
        <v>19</v>
      </c>
      <c r="K1070" s="1">
        <v>39848</v>
      </c>
      <c r="M1070" s="1" t="str">
        <f>IF(ISBLANK(Data[[#This Row],[EndDate]]),"Active","InActive")</f>
        <v>Active</v>
      </c>
      <c r="N1070" t="s">
        <v>57</v>
      </c>
      <c r="O1070" t="s">
        <v>75</v>
      </c>
      <c r="P1070" t="s">
        <v>32</v>
      </c>
      <c r="Q1070" s="2">
        <v>4860</v>
      </c>
    </row>
    <row r="1071" spans="1:17" x14ac:dyDescent="0.2">
      <c r="A1071" s="1">
        <v>43070</v>
      </c>
      <c r="B1071">
        <v>97344</v>
      </c>
      <c r="C1071" t="s">
        <v>79</v>
      </c>
      <c r="D1071" t="s">
        <v>47</v>
      </c>
      <c r="E1071" t="s">
        <v>73</v>
      </c>
      <c r="F1071" s="5">
        <v>36</v>
      </c>
      <c r="G1071" t="str">
        <f>IF(Data[[#This Row],[Age]]&lt;25,"Under 25",IF(Data[[#This Row],[Age]]&lt;35,"25–34",IF(Data[[#This Row],[Age]]&lt;45,"35–44",IF(Data[[#This Row],[Age]]&lt;55,"45–54","55+"))))</f>
        <v>35–44</v>
      </c>
      <c r="H1071" t="s">
        <v>25</v>
      </c>
      <c r="I1071" t="s">
        <v>56</v>
      </c>
      <c r="J1071" t="s">
        <v>19</v>
      </c>
      <c r="K1071" s="1">
        <v>37679</v>
      </c>
      <c r="M1071" s="1" t="str">
        <f>IF(ISBLANK(Data[[#This Row],[EndDate]]),"Active","InActive")</f>
        <v>Active</v>
      </c>
      <c r="N1071" t="s">
        <v>57</v>
      </c>
      <c r="O1071" t="s">
        <v>75</v>
      </c>
      <c r="P1071" t="s">
        <v>32</v>
      </c>
      <c r="Q1071" s="2">
        <v>33948</v>
      </c>
    </row>
    <row r="1072" spans="1:17" x14ac:dyDescent="0.2">
      <c r="A1072" s="1">
        <v>43435</v>
      </c>
      <c r="B1072">
        <v>96764</v>
      </c>
      <c r="C1072" t="s">
        <v>79</v>
      </c>
      <c r="D1072" t="s">
        <v>52</v>
      </c>
      <c r="E1072" t="s">
        <v>53</v>
      </c>
      <c r="F1072" s="5">
        <v>36</v>
      </c>
      <c r="G1072" t="str">
        <f>IF(Data[[#This Row],[Age]]&lt;25,"Under 25",IF(Data[[#This Row],[Age]]&lt;35,"25–34",IF(Data[[#This Row],[Age]]&lt;45,"35–44",IF(Data[[#This Row],[Age]]&lt;55,"45–54","55+"))))</f>
        <v>35–44</v>
      </c>
      <c r="H1072" t="s">
        <v>34</v>
      </c>
      <c r="I1072" t="s">
        <v>56</v>
      </c>
      <c r="J1072" t="s">
        <v>19</v>
      </c>
      <c r="K1072" s="1">
        <v>37085</v>
      </c>
      <c r="M1072" s="1" t="str">
        <f>IF(ISBLANK(Data[[#This Row],[EndDate]]),"Active","InActive")</f>
        <v>Active</v>
      </c>
      <c r="N1072" t="s">
        <v>57</v>
      </c>
      <c r="O1072" t="s">
        <v>75</v>
      </c>
      <c r="P1072" t="s">
        <v>40</v>
      </c>
      <c r="Q1072" s="2">
        <v>7920</v>
      </c>
    </row>
    <row r="1073" spans="1:17" x14ac:dyDescent="0.2">
      <c r="A1073" s="1">
        <v>43070</v>
      </c>
      <c r="B1073">
        <v>95762</v>
      </c>
      <c r="C1073" t="s">
        <v>79</v>
      </c>
      <c r="D1073" t="s">
        <v>41</v>
      </c>
      <c r="E1073" t="s">
        <v>62</v>
      </c>
      <c r="F1073" s="5">
        <v>36</v>
      </c>
      <c r="G1073" t="str">
        <f>IF(Data[[#This Row],[Age]]&lt;25,"Under 25",IF(Data[[#This Row],[Age]]&lt;35,"25–34",IF(Data[[#This Row],[Age]]&lt;45,"35–44",IF(Data[[#This Row],[Age]]&lt;55,"45–54","55+"))))</f>
        <v>35–44</v>
      </c>
      <c r="H1073" t="s">
        <v>31</v>
      </c>
      <c r="I1073" t="s">
        <v>56</v>
      </c>
      <c r="J1073" t="s">
        <v>19</v>
      </c>
      <c r="K1073" s="1">
        <v>39687</v>
      </c>
      <c r="M1073" s="1" t="str">
        <f>IF(ISBLANK(Data[[#This Row],[EndDate]]),"Active","InActive")</f>
        <v>Active</v>
      </c>
      <c r="N1073" t="s">
        <v>57</v>
      </c>
      <c r="O1073" t="s">
        <v>75</v>
      </c>
      <c r="P1073" t="s">
        <v>32</v>
      </c>
      <c r="Q1073" s="2">
        <v>16092</v>
      </c>
    </row>
    <row r="1074" spans="1:17" x14ac:dyDescent="0.2">
      <c r="A1074" s="1">
        <v>42705</v>
      </c>
      <c r="B1074">
        <v>98792</v>
      </c>
      <c r="C1074" t="s">
        <v>80</v>
      </c>
      <c r="D1074" t="s">
        <v>41</v>
      </c>
      <c r="E1074" t="s">
        <v>42</v>
      </c>
      <c r="F1074" s="5">
        <v>36</v>
      </c>
      <c r="G1074" t="str">
        <f>IF(Data[[#This Row],[Age]]&lt;25,"Under 25",IF(Data[[#This Row],[Age]]&lt;35,"25–34",IF(Data[[#This Row],[Age]]&lt;45,"35–44",IF(Data[[#This Row],[Age]]&lt;55,"45–54","55+"))))</f>
        <v>35–44</v>
      </c>
      <c r="H1074" t="s">
        <v>46</v>
      </c>
      <c r="I1074" t="s">
        <v>18</v>
      </c>
      <c r="J1074" t="s">
        <v>37</v>
      </c>
      <c r="K1074" s="1">
        <v>41244</v>
      </c>
      <c r="M1074" s="1" t="str">
        <f>IF(ISBLANK(Data[[#This Row],[EndDate]]),"Active","InActive")</f>
        <v>Active</v>
      </c>
      <c r="N1074" t="s">
        <v>20</v>
      </c>
      <c r="O1074" t="s">
        <v>75</v>
      </c>
      <c r="P1074" t="s">
        <v>22</v>
      </c>
      <c r="Q1074" s="2">
        <v>6300</v>
      </c>
    </row>
    <row r="1075" spans="1:17" x14ac:dyDescent="0.2">
      <c r="A1075" s="1">
        <v>43070</v>
      </c>
      <c r="B1075">
        <v>52970</v>
      </c>
      <c r="C1075" t="s">
        <v>80</v>
      </c>
      <c r="D1075" t="s">
        <v>23</v>
      </c>
      <c r="E1075" t="s">
        <v>65</v>
      </c>
      <c r="F1075" s="5">
        <v>37</v>
      </c>
      <c r="G1075" t="str">
        <f>IF(Data[[#This Row],[Age]]&lt;25,"Under 25",IF(Data[[#This Row],[Age]]&lt;35,"25–34",IF(Data[[#This Row],[Age]]&lt;45,"35–44",IF(Data[[#This Row],[Age]]&lt;55,"45–54","55+"))))</f>
        <v>35–44</v>
      </c>
      <c r="H1075" t="s">
        <v>49</v>
      </c>
      <c r="I1075" t="s">
        <v>56</v>
      </c>
      <c r="J1075" t="s">
        <v>37</v>
      </c>
      <c r="K1075" s="1">
        <v>35350</v>
      </c>
      <c r="M1075" s="1" t="str">
        <f>IF(ISBLANK(Data[[#This Row],[EndDate]]),"Active","InActive")</f>
        <v>Active</v>
      </c>
      <c r="N1075" t="s">
        <v>57</v>
      </c>
      <c r="O1075" t="s">
        <v>75</v>
      </c>
      <c r="P1075" t="s">
        <v>32</v>
      </c>
      <c r="Q1075" s="2">
        <v>34854</v>
      </c>
    </row>
    <row r="1076" spans="1:17" x14ac:dyDescent="0.2">
      <c r="A1076" s="1">
        <v>43070</v>
      </c>
      <c r="B1076">
        <v>54372</v>
      </c>
      <c r="C1076" t="s">
        <v>79</v>
      </c>
      <c r="D1076" t="s">
        <v>47</v>
      </c>
      <c r="E1076" t="s">
        <v>73</v>
      </c>
      <c r="F1076" s="5">
        <v>37</v>
      </c>
      <c r="G1076" t="str">
        <f>IF(Data[[#This Row],[Age]]&lt;25,"Under 25",IF(Data[[#This Row],[Age]]&lt;35,"25–34",IF(Data[[#This Row],[Age]]&lt;45,"35–44",IF(Data[[#This Row],[Age]]&lt;55,"45–54","55+"))))</f>
        <v>35–44</v>
      </c>
      <c r="H1076" t="s">
        <v>17</v>
      </c>
      <c r="I1076" t="s">
        <v>56</v>
      </c>
      <c r="J1076" t="s">
        <v>37</v>
      </c>
      <c r="K1076" s="1">
        <v>40918</v>
      </c>
      <c r="M1076" s="1" t="str">
        <f>IF(ISBLANK(Data[[#This Row],[EndDate]]),"Active","InActive")</f>
        <v>Active</v>
      </c>
      <c r="N1076" t="s">
        <v>57</v>
      </c>
      <c r="O1076" t="s">
        <v>75</v>
      </c>
      <c r="P1076" t="s">
        <v>32</v>
      </c>
      <c r="Q1076" s="2">
        <v>19462</v>
      </c>
    </row>
    <row r="1077" spans="1:17" x14ac:dyDescent="0.2">
      <c r="A1077" s="1">
        <v>43435</v>
      </c>
      <c r="B1077">
        <v>52968</v>
      </c>
      <c r="C1077" t="s">
        <v>80</v>
      </c>
      <c r="D1077" t="s">
        <v>23</v>
      </c>
      <c r="E1077" t="s">
        <v>71</v>
      </c>
      <c r="F1077" s="5">
        <v>37</v>
      </c>
      <c r="G1077" t="str">
        <f>IF(Data[[#This Row],[Age]]&lt;25,"Under 25",IF(Data[[#This Row],[Age]]&lt;35,"25–34",IF(Data[[#This Row],[Age]]&lt;45,"35–44",IF(Data[[#This Row],[Age]]&lt;55,"45–54","55+"))))</f>
        <v>35–44</v>
      </c>
      <c r="H1077" t="s">
        <v>25</v>
      </c>
      <c r="I1077" t="s">
        <v>56</v>
      </c>
      <c r="J1077" t="s">
        <v>37</v>
      </c>
      <c r="K1077" s="1">
        <v>39169</v>
      </c>
      <c r="M1077" s="1" t="str">
        <f>IF(ISBLANK(Data[[#This Row],[EndDate]]),"Active","InActive")</f>
        <v>Active</v>
      </c>
      <c r="N1077" t="s">
        <v>57</v>
      </c>
      <c r="O1077" t="s">
        <v>75</v>
      </c>
      <c r="P1077" t="s">
        <v>40</v>
      </c>
      <c r="Q1077" s="2">
        <v>19906</v>
      </c>
    </row>
    <row r="1078" spans="1:17" x14ac:dyDescent="0.2">
      <c r="A1078" s="1">
        <v>43435</v>
      </c>
      <c r="B1078">
        <v>54034</v>
      </c>
      <c r="C1078" t="s">
        <v>79</v>
      </c>
      <c r="D1078" t="s">
        <v>27</v>
      </c>
      <c r="E1078" t="s">
        <v>72</v>
      </c>
      <c r="F1078" s="5">
        <v>37</v>
      </c>
      <c r="G1078" t="str">
        <f>IF(Data[[#This Row],[Age]]&lt;25,"Under 25",IF(Data[[#This Row],[Age]]&lt;35,"25–34",IF(Data[[#This Row],[Age]]&lt;45,"35–44",IF(Data[[#This Row],[Age]]&lt;55,"45–54","55+"))))</f>
        <v>35–44</v>
      </c>
      <c r="H1078" t="s">
        <v>17</v>
      </c>
      <c r="I1078" t="s">
        <v>56</v>
      </c>
      <c r="J1078" t="s">
        <v>26</v>
      </c>
      <c r="K1078" s="1">
        <v>41800</v>
      </c>
      <c r="M1078" s="1" t="str">
        <f>IF(ISBLANK(Data[[#This Row],[EndDate]]),"Active","InActive")</f>
        <v>Active</v>
      </c>
      <c r="N1078" t="s">
        <v>57</v>
      </c>
      <c r="O1078" t="s">
        <v>75</v>
      </c>
      <c r="P1078" t="s">
        <v>40</v>
      </c>
      <c r="Q1078" s="2">
        <v>20905</v>
      </c>
    </row>
    <row r="1079" spans="1:17" x14ac:dyDescent="0.2">
      <c r="A1079" s="1">
        <v>42705</v>
      </c>
      <c r="B1079">
        <v>115376</v>
      </c>
      <c r="C1079" t="s">
        <v>80</v>
      </c>
      <c r="D1079" t="s">
        <v>41</v>
      </c>
      <c r="E1079" t="s">
        <v>42</v>
      </c>
      <c r="F1079" s="5">
        <v>37</v>
      </c>
      <c r="G1079" t="str">
        <f>IF(Data[[#This Row],[Age]]&lt;25,"Under 25",IF(Data[[#This Row],[Age]]&lt;35,"25–34",IF(Data[[#This Row],[Age]]&lt;45,"35–44",IF(Data[[#This Row],[Age]]&lt;55,"45–54","55+"))))</f>
        <v>35–44</v>
      </c>
      <c r="H1079" t="s">
        <v>34</v>
      </c>
      <c r="I1079" t="s">
        <v>18</v>
      </c>
      <c r="J1079" t="s">
        <v>26</v>
      </c>
      <c r="K1079" s="1">
        <v>41139</v>
      </c>
      <c r="M1079" s="1" t="str">
        <f>IF(ISBLANK(Data[[#This Row],[EndDate]]),"Active","InActive")</f>
        <v>Active</v>
      </c>
      <c r="N1079" t="s">
        <v>20</v>
      </c>
      <c r="O1079" t="s">
        <v>75</v>
      </c>
      <c r="P1079" t="s">
        <v>22</v>
      </c>
      <c r="Q1079" s="2">
        <v>5032</v>
      </c>
    </row>
    <row r="1080" spans="1:17" x14ac:dyDescent="0.2">
      <c r="A1080" s="1">
        <v>43070</v>
      </c>
      <c r="B1080">
        <v>53368</v>
      </c>
      <c r="C1080" t="s">
        <v>79</v>
      </c>
      <c r="D1080" t="s">
        <v>41</v>
      </c>
      <c r="E1080" t="s">
        <v>62</v>
      </c>
      <c r="F1080" s="5">
        <v>37</v>
      </c>
      <c r="G1080" t="str">
        <f>IF(Data[[#This Row],[Age]]&lt;25,"Under 25",IF(Data[[#This Row],[Age]]&lt;35,"25–34",IF(Data[[#This Row],[Age]]&lt;45,"35–44",IF(Data[[#This Row],[Age]]&lt;55,"45–54","55+"))))</f>
        <v>35–44</v>
      </c>
      <c r="H1080" t="s">
        <v>17</v>
      </c>
      <c r="I1080" t="s">
        <v>56</v>
      </c>
      <c r="J1080" t="s">
        <v>35</v>
      </c>
      <c r="K1080" s="1">
        <v>40991</v>
      </c>
      <c r="M1080" s="1" t="str">
        <f>IF(ISBLANK(Data[[#This Row],[EndDate]]),"Active","InActive")</f>
        <v>Active</v>
      </c>
      <c r="N1080" t="s">
        <v>57</v>
      </c>
      <c r="O1080" t="s">
        <v>75</v>
      </c>
      <c r="P1080" t="s">
        <v>32</v>
      </c>
      <c r="Q1080" s="2">
        <v>6031</v>
      </c>
    </row>
    <row r="1081" spans="1:17" x14ac:dyDescent="0.2">
      <c r="A1081" s="1">
        <v>43070</v>
      </c>
      <c r="B1081">
        <v>54306</v>
      </c>
      <c r="C1081" t="s">
        <v>80</v>
      </c>
      <c r="D1081" t="s">
        <v>27</v>
      </c>
      <c r="E1081" t="s">
        <v>74</v>
      </c>
      <c r="F1081" s="5">
        <v>37</v>
      </c>
      <c r="G1081" t="str">
        <f>IF(Data[[#This Row],[Age]]&lt;25,"Under 25",IF(Data[[#This Row],[Age]]&lt;35,"25–34",IF(Data[[#This Row],[Age]]&lt;45,"35–44",IF(Data[[#This Row],[Age]]&lt;55,"45–54","55+"))))</f>
        <v>35–44</v>
      </c>
      <c r="H1081" t="s">
        <v>31</v>
      </c>
      <c r="I1081" t="s">
        <v>18</v>
      </c>
      <c r="J1081" t="s">
        <v>35</v>
      </c>
      <c r="K1081" s="1">
        <v>40828</v>
      </c>
      <c r="M1081" s="1" t="str">
        <f>IF(ISBLANK(Data[[#This Row],[EndDate]]),"Active","InActive")</f>
        <v>Active</v>
      </c>
      <c r="N1081" t="s">
        <v>20</v>
      </c>
      <c r="O1081" t="s">
        <v>75</v>
      </c>
      <c r="P1081" t="s">
        <v>32</v>
      </c>
      <c r="Q1081" s="2">
        <v>24309</v>
      </c>
    </row>
    <row r="1082" spans="1:17" x14ac:dyDescent="0.2">
      <c r="A1082" s="1">
        <v>43435</v>
      </c>
      <c r="B1082">
        <v>43058</v>
      </c>
      <c r="C1082" t="s">
        <v>80</v>
      </c>
      <c r="D1082" t="s">
        <v>15</v>
      </c>
      <c r="E1082" t="s">
        <v>58</v>
      </c>
      <c r="F1082" s="5">
        <v>37</v>
      </c>
      <c r="G1082" t="str">
        <f>IF(Data[[#This Row],[Age]]&lt;25,"Under 25",IF(Data[[#This Row],[Age]]&lt;35,"25–34",IF(Data[[#This Row],[Age]]&lt;45,"35–44",IF(Data[[#This Row],[Age]]&lt;55,"45–54","55+"))))</f>
        <v>35–44</v>
      </c>
      <c r="H1082" t="s">
        <v>59</v>
      </c>
      <c r="I1082" t="s">
        <v>18</v>
      </c>
      <c r="J1082" t="s">
        <v>35</v>
      </c>
      <c r="K1082" s="1">
        <v>41502</v>
      </c>
      <c r="M1082" s="1" t="str">
        <f>IF(ISBLANK(Data[[#This Row],[EndDate]]),"Active","InActive")</f>
        <v>Active</v>
      </c>
      <c r="N1082" t="s">
        <v>20</v>
      </c>
      <c r="O1082" t="s">
        <v>75</v>
      </c>
      <c r="P1082" t="s">
        <v>40</v>
      </c>
      <c r="Q1082" s="2">
        <v>6993</v>
      </c>
    </row>
    <row r="1083" spans="1:17" x14ac:dyDescent="0.2">
      <c r="A1083" s="1">
        <v>43435</v>
      </c>
      <c r="B1083">
        <v>43160</v>
      </c>
      <c r="C1083" t="s">
        <v>80</v>
      </c>
      <c r="D1083" t="s">
        <v>50</v>
      </c>
      <c r="E1083" t="s">
        <v>63</v>
      </c>
      <c r="F1083" s="5">
        <v>37</v>
      </c>
      <c r="G1083" t="str">
        <f>IF(Data[[#This Row],[Age]]&lt;25,"Under 25",IF(Data[[#This Row],[Age]]&lt;35,"25–34",IF(Data[[#This Row],[Age]]&lt;45,"35–44",IF(Data[[#This Row],[Age]]&lt;55,"45–54","55+"))))</f>
        <v>35–44</v>
      </c>
      <c r="H1083" t="s">
        <v>25</v>
      </c>
      <c r="I1083" t="s">
        <v>18</v>
      </c>
      <c r="J1083" t="s">
        <v>35</v>
      </c>
      <c r="K1083" s="1">
        <v>41659</v>
      </c>
      <c r="M1083" s="1" t="str">
        <f>IF(ISBLANK(Data[[#This Row],[EndDate]]),"Active","InActive")</f>
        <v>Active</v>
      </c>
      <c r="N1083" t="s">
        <v>20</v>
      </c>
      <c r="O1083" t="s">
        <v>75</v>
      </c>
      <c r="P1083" t="s">
        <v>40</v>
      </c>
      <c r="Q1083" s="2">
        <v>12950</v>
      </c>
    </row>
    <row r="1084" spans="1:17" x14ac:dyDescent="0.2">
      <c r="A1084" s="1">
        <v>43435</v>
      </c>
      <c r="B1084">
        <v>53410</v>
      </c>
      <c r="C1084" t="s">
        <v>79</v>
      </c>
      <c r="D1084" t="s">
        <v>29</v>
      </c>
      <c r="E1084" t="s">
        <v>30</v>
      </c>
      <c r="F1084" s="5">
        <v>37</v>
      </c>
      <c r="G1084" t="str">
        <f>IF(Data[[#This Row],[Age]]&lt;25,"Under 25",IF(Data[[#This Row],[Age]]&lt;35,"25–34",IF(Data[[#This Row],[Age]]&lt;45,"35–44",IF(Data[[#This Row],[Age]]&lt;55,"45–54","55+"))))</f>
        <v>35–44</v>
      </c>
      <c r="H1084" t="s">
        <v>17</v>
      </c>
      <c r="I1084" t="s">
        <v>56</v>
      </c>
      <c r="J1084" t="s">
        <v>35</v>
      </c>
      <c r="K1084" s="1">
        <v>41586</v>
      </c>
      <c r="M1084" s="1" t="str">
        <f>IF(ISBLANK(Data[[#This Row],[EndDate]]),"Active","InActive")</f>
        <v>Active</v>
      </c>
      <c r="N1084" t="s">
        <v>57</v>
      </c>
      <c r="O1084" t="s">
        <v>75</v>
      </c>
      <c r="P1084" t="s">
        <v>40</v>
      </c>
      <c r="Q1084" s="2">
        <v>33522</v>
      </c>
    </row>
    <row r="1085" spans="1:17" x14ac:dyDescent="0.2">
      <c r="A1085" s="1">
        <v>43435</v>
      </c>
      <c r="B1085">
        <v>41042</v>
      </c>
      <c r="C1085" t="s">
        <v>79</v>
      </c>
      <c r="D1085" t="s">
        <v>29</v>
      </c>
      <c r="E1085" t="s">
        <v>36</v>
      </c>
      <c r="F1085" s="5">
        <v>37</v>
      </c>
      <c r="G1085" t="str">
        <f>IF(Data[[#This Row],[Age]]&lt;25,"Under 25",IF(Data[[#This Row],[Age]]&lt;35,"25–34",IF(Data[[#This Row],[Age]]&lt;45,"35–44",IF(Data[[#This Row],[Age]]&lt;55,"45–54","55+"))))</f>
        <v>35–44</v>
      </c>
      <c r="H1085" t="s">
        <v>31</v>
      </c>
      <c r="I1085" t="s">
        <v>18</v>
      </c>
      <c r="J1085" t="s">
        <v>37</v>
      </c>
      <c r="K1085" s="1">
        <v>41495</v>
      </c>
      <c r="M1085" s="1" t="str">
        <f>IF(ISBLANK(Data[[#This Row],[EndDate]]),"Active","InActive")</f>
        <v>Active</v>
      </c>
      <c r="N1085" t="s">
        <v>20</v>
      </c>
      <c r="O1085" t="s">
        <v>75</v>
      </c>
      <c r="P1085" t="s">
        <v>40</v>
      </c>
      <c r="Q1085" s="2">
        <v>10434</v>
      </c>
    </row>
    <row r="1086" spans="1:17" x14ac:dyDescent="0.2">
      <c r="A1086" s="1">
        <v>42705</v>
      </c>
      <c r="B1086">
        <v>103524</v>
      </c>
      <c r="C1086" t="s">
        <v>80</v>
      </c>
      <c r="D1086" t="s">
        <v>50</v>
      </c>
      <c r="E1086" t="s">
        <v>63</v>
      </c>
      <c r="F1086" s="5">
        <v>37</v>
      </c>
      <c r="G1086" t="str">
        <f>IF(Data[[#This Row],[Age]]&lt;25,"Under 25",IF(Data[[#This Row],[Age]]&lt;35,"25–34",IF(Data[[#This Row],[Age]]&lt;45,"35–44",IF(Data[[#This Row],[Age]]&lt;55,"45–54","55+"))))</f>
        <v>35–44</v>
      </c>
      <c r="H1086" t="s">
        <v>46</v>
      </c>
      <c r="I1086" t="s">
        <v>18</v>
      </c>
      <c r="J1086" t="s">
        <v>37</v>
      </c>
      <c r="K1086" s="1">
        <v>41243</v>
      </c>
      <c r="M1086" s="1" t="str">
        <f>IF(ISBLANK(Data[[#This Row],[EndDate]]),"Active","InActive")</f>
        <v>Active</v>
      </c>
      <c r="N1086" t="s">
        <v>20</v>
      </c>
      <c r="O1086" t="s">
        <v>75</v>
      </c>
      <c r="P1086" t="s">
        <v>22</v>
      </c>
      <c r="Q1086" s="2">
        <v>24679</v>
      </c>
    </row>
    <row r="1087" spans="1:17" x14ac:dyDescent="0.2">
      <c r="A1087" s="1">
        <v>43435</v>
      </c>
      <c r="B1087">
        <v>40488</v>
      </c>
      <c r="C1087" t="s">
        <v>80</v>
      </c>
      <c r="D1087" t="s">
        <v>43</v>
      </c>
      <c r="E1087" t="s">
        <v>44</v>
      </c>
      <c r="F1087" s="5">
        <v>37</v>
      </c>
      <c r="G1087" t="str">
        <f>IF(Data[[#This Row],[Age]]&lt;25,"Under 25",IF(Data[[#This Row],[Age]]&lt;35,"25–34",IF(Data[[#This Row],[Age]]&lt;45,"35–44",IF(Data[[#This Row],[Age]]&lt;55,"45–54","55+"))))</f>
        <v>35–44</v>
      </c>
      <c r="H1087" t="s">
        <v>31</v>
      </c>
      <c r="I1087" t="s">
        <v>56</v>
      </c>
      <c r="J1087" t="s">
        <v>37</v>
      </c>
      <c r="K1087" s="1">
        <v>40686</v>
      </c>
      <c r="M1087" s="1" t="str">
        <f>IF(ISBLANK(Data[[#This Row],[EndDate]]),"Active","InActive")</f>
        <v>Active</v>
      </c>
      <c r="N1087" t="s">
        <v>57</v>
      </c>
      <c r="O1087" t="s">
        <v>75</v>
      </c>
      <c r="P1087" t="s">
        <v>40</v>
      </c>
      <c r="Q1087" s="2">
        <v>22089</v>
      </c>
    </row>
    <row r="1088" spans="1:17" x14ac:dyDescent="0.2">
      <c r="A1088" s="1">
        <v>42705</v>
      </c>
      <c r="B1088">
        <v>1950</v>
      </c>
      <c r="C1088" t="s">
        <v>80</v>
      </c>
      <c r="D1088" t="s">
        <v>50</v>
      </c>
      <c r="E1088" t="s">
        <v>51</v>
      </c>
      <c r="F1088" s="5">
        <v>37</v>
      </c>
      <c r="G1088" t="str">
        <f>IF(Data[[#This Row],[Age]]&lt;25,"Under 25",IF(Data[[#This Row],[Age]]&lt;35,"25–34",IF(Data[[#This Row],[Age]]&lt;45,"35–44",IF(Data[[#This Row],[Age]]&lt;55,"45–54","55+"))))</f>
        <v>35–44</v>
      </c>
      <c r="H1088" t="s">
        <v>49</v>
      </c>
      <c r="I1088" t="s">
        <v>18</v>
      </c>
      <c r="J1088" t="s">
        <v>37</v>
      </c>
      <c r="K1088" s="1">
        <v>39687</v>
      </c>
      <c r="M1088" s="1" t="str">
        <f>IF(ISBLANK(Data[[#This Row],[EndDate]]),"Active","InActive")</f>
        <v>Active</v>
      </c>
      <c r="N1088" t="s">
        <v>20</v>
      </c>
      <c r="O1088" t="s">
        <v>75</v>
      </c>
      <c r="P1088" t="s">
        <v>22</v>
      </c>
      <c r="Q1088" s="2">
        <v>31894</v>
      </c>
    </row>
    <row r="1089" spans="1:17" x14ac:dyDescent="0.2">
      <c r="A1089" s="1">
        <v>43435</v>
      </c>
      <c r="B1089">
        <v>95792</v>
      </c>
      <c r="C1089" t="s">
        <v>79</v>
      </c>
      <c r="D1089" t="s">
        <v>50</v>
      </c>
      <c r="E1089" t="s">
        <v>51</v>
      </c>
      <c r="F1089" s="5">
        <v>37</v>
      </c>
      <c r="G1089" t="str">
        <f>IF(Data[[#This Row],[Age]]&lt;25,"Under 25",IF(Data[[#This Row],[Age]]&lt;35,"25–34",IF(Data[[#This Row],[Age]]&lt;45,"35–44",IF(Data[[#This Row],[Age]]&lt;55,"45–54","55+"))))</f>
        <v>35–44</v>
      </c>
      <c r="H1089" t="s">
        <v>31</v>
      </c>
      <c r="I1089" t="s">
        <v>56</v>
      </c>
      <c r="J1089" t="s">
        <v>19</v>
      </c>
      <c r="K1089" s="1">
        <v>41513</v>
      </c>
      <c r="M1089" s="1" t="str">
        <f>IF(ISBLANK(Data[[#This Row],[EndDate]]),"Active","InActive")</f>
        <v>Active</v>
      </c>
      <c r="N1089" t="s">
        <v>57</v>
      </c>
      <c r="O1089" t="s">
        <v>75</v>
      </c>
      <c r="P1089" t="s">
        <v>40</v>
      </c>
      <c r="Q1089" s="2">
        <v>33596</v>
      </c>
    </row>
    <row r="1090" spans="1:17" x14ac:dyDescent="0.2">
      <c r="A1090" s="1">
        <v>42705</v>
      </c>
      <c r="B1090">
        <v>92310</v>
      </c>
      <c r="C1090" t="s">
        <v>80</v>
      </c>
      <c r="D1090" t="s">
        <v>43</v>
      </c>
      <c r="E1090" t="s">
        <v>66</v>
      </c>
      <c r="F1090" s="5">
        <v>37</v>
      </c>
      <c r="G1090" t="str">
        <f>IF(Data[[#This Row],[Age]]&lt;25,"Under 25",IF(Data[[#This Row],[Age]]&lt;35,"25–34",IF(Data[[#This Row],[Age]]&lt;45,"35–44",IF(Data[[#This Row],[Age]]&lt;55,"45–54","55+"))))</f>
        <v>35–44</v>
      </c>
      <c r="H1090" t="s">
        <v>46</v>
      </c>
      <c r="I1090" t="s">
        <v>56</v>
      </c>
      <c r="J1090" t="s">
        <v>19</v>
      </c>
      <c r="K1090" s="1">
        <v>39624</v>
      </c>
      <c r="M1090" s="1" t="str">
        <f>IF(ISBLANK(Data[[#This Row],[EndDate]]),"Active","InActive")</f>
        <v>Active</v>
      </c>
      <c r="N1090" t="s">
        <v>57</v>
      </c>
      <c r="O1090" t="s">
        <v>75</v>
      </c>
      <c r="P1090" t="s">
        <v>22</v>
      </c>
      <c r="Q1090" s="2">
        <v>25678</v>
      </c>
    </row>
    <row r="1091" spans="1:17" x14ac:dyDescent="0.2">
      <c r="A1091" s="1">
        <v>43435</v>
      </c>
      <c r="B1091">
        <v>92302</v>
      </c>
      <c r="C1091" t="s">
        <v>80</v>
      </c>
      <c r="D1091" t="s">
        <v>52</v>
      </c>
      <c r="E1091" t="s">
        <v>69</v>
      </c>
      <c r="F1091" s="5">
        <v>37</v>
      </c>
      <c r="G1091" t="str">
        <f>IF(Data[[#This Row],[Age]]&lt;25,"Under 25",IF(Data[[#This Row],[Age]]&lt;35,"25–34",IF(Data[[#This Row],[Age]]&lt;45,"35–44",IF(Data[[#This Row],[Age]]&lt;55,"45–54","55+"))))</f>
        <v>35–44</v>
      </c>
      <c r="H1091" t="s">
        <v>34</v>
      </c>
      <c r="I1091" t="s">
        <v>56</v>
      </c>
      <c r="J1091" t="s">
        <v>19</v>
      </c>
      <c r="K1091" s="1">
        <v>39508</v>
      </c>
      <c r="M1091" s="1" t="str">
        <f>IF(ISBLANK(Data[[#This Row],[EndDate]]),"Active","InActive")</f>
        <v>Active</v>
      </c>
      <c r="N1091" t="s">
        <v>57</v>
      </c>
      <c r="O1091" t="s">
        <v>75</v>
      </c>
      <c r="P1091" t="s">
        <v>40</v>
      </c>
      <c r="Q1091" s="2">
        <v>9472</v>
      </c>
    </row>
    <row r="1092" spans="1:17" x14ac:dyDescent="0.2">
      <c r="A1092" s="1">
        <v>42705</v>
      </c>
      <c r="B1092">
        <v>92270</v>
      </c>
      <c r="C1092" t="s">
        <v>79</v>
      </c>
      <c r="D1092" t="s">
        <v>43</v>
      </c>
      <c r="E1092" t="s">
        <v>44</v>
      </c>
      <c r="F1092" s="5">
        <v>37</v>
      </c>
      <c r="G1092" t="str">
        <f>IF(Data[[#This Row],[Age]]&lt;25,"Under 25",IF(Data[[#This Row],[Age]]&lt;35,"25–34",IF(Data[[#This Row],[Age]]&lt;45,"35–44",IF(Data[[#This Row],[Age]]&lt;55,"45–54","55+"))))</f>
        <v>35–44</v>
      </c>
      <c r="H1092" t="s">
        <v>25</v>
      </c>
      <c r="I1092" t="s">
        <v>56</v>
      </c>
      <c r="J1092" t="s">
        <v>19</v>
      </c>
      <c r="K1092" s="1">
        <v>38804</v>
      </c>
      <c r="M1092" s="1" t="str">
        <f>IF(ISBLANK(Data[[#This Row],[EndDate]]),"Active","InActive")</f>
        <v>Active</v>
      </c>
      <c r="N1092" t="s">
        <v>57</v>
      </c>
      <c r="O1092" t="s">
        <v>75</v>
      </c>
      <c r="P1092" t="s">
        <v>22</v>
      </c>
      <c r="Q1092" s="2">
        <v>16132</v>
      </c>
    </row>
    <row r="1093" spans="1:17" x14ac:dyDescent="0.2">
      <c r="A1093" s="1">
        <v>42705</v>
      </c>
      <c r="B1093">
        <v>92440</v>
      </c>
      <c r="C1093" t="s">
        <v>79</v>
      </c>
      <c r="D1093" t="s">
        <v>38</v>
      </c>
      <c r="E1093" t="s">
        <v>39</v>
      </c>
      <c r="F1093" s="5">
        <v>37</v>
      </c>
      <c r="G1093" t="str">
        <f>IF(Data[[#This Row],[Age]]&lt;25,"Under 25",IF(Data[[#This Row],[Age]]&lt;35,"25–34",IF(Data[[#This Row],[Age]]&lt;45,"35–44",IF(Data[[#This Row],[Age]]&lt;55,"45–54","55+"))))</f>
        <v>35–44</v>
      </c>
      <c r="H1093" t="s">
        <v>46</v>
      </c>
      <c r="I1093" t="s">
        <v>56</v>
      </c>
      <c r="J1093" t="s">
        <v>19</v>
      </c>
      <c r="K1093" s="1">
        <v>40946</v>
      </c>
      <c r="M1093" s="1" t="str">
        <f>IF(ISBLANK(Data[[#This Row],[EndDate]]),"Active","InActive")</f>
        <v>Active</v>
      </c>
      <c r="N1093" t="s">
        <v>57</v>
      </c>
      <c r="O1093" t="s">
        <v>75</v>
      </c>
      <c r="P1093" t="s">
        <v>22</v>
      </c>
      <c r="Q1093" s="2">
        <v>21793</v>
      </c>
    </row>
    <row r="1094" spans="1:17" x14ac:dyDescent="0.2">
      <c r="A1094" s="1">
        <v>43070</v>
      </c>
      <c r="B1094">
        <v>92246</v>
      </c>
      <c r="C1094" t="s">
        <v>79</v>
      </c>
      <c r="D1094" t="s">
        <v>43</v>
      </c>
      <c r="E1094" t="s">
        <v>44</v>
      </c>
      <c r="F1094" s="5">
        <v>37</v>
      </c>
      <c r="G1094" t="str">
        <f>IF(Data[[#This Row],[Age]]&lt;25,"Under 25",IF(Data[[#This Row],[Age]]&lt;35,"25–34",IF(Data[[#This Row],[Age]]&lt;45,"35–44",IF(Data[[#This Row],[Age]]&lt;55,"45–54","55+"))))</f>
        <v>35–44</v>
      </c>
      <c r="H1094" t="s">
        <v>46</v>
      </c>
      <c r="I1094" t="s">
        <v>56</v>
      </c>
      <c r="J1094" t="s">
        <v>19</v>
      </c>
      <c r="K1094" s="1">
        <v>40456</v>
      </c>
      <c r="M1094" s="1" t="str">
        <f>IF(ISBLANK(Data[[#This Row],[EndDate]]),"Active","InActive")</f>
        <v>Active</v>
      </c>
      <c r="N1094" t="s">
        <v>57</v>
      </c>
      <c r="O1094" t="s">
        <v>75</v>
      </c>
      <c r="P1094" t="s">
        <v>32</v>
      </c>
      <c r="Q1094" s="2">
        <v>36149</v>
      </c>
    </row>
    <row r="1095" spans="1:17" x14ac:dyDescent="0.2">
      <c r="A1095" s="1">
        <v>43070</v>
      </c>
      <c r="B1095">
        <v>95722</v>
      </c>
      <c r="C1095" t="s">
        <v>79</v>
      </c>
      <c r="D1095" t="s">
        <v>23</v>
      </c>
      <c r="E1095" t="s">
        <v>24</v>
      </c>
      <c r="F1095" s="5">
        <v>37</v>
      </c>
      <c r="G1095" t="str">
        <f>IF(Data[[#This Row],[Age]]&lt;25,"Under 25",IF(Data[[#This Row],[Age]]&lt;35,"25–34",IF(Data[[#This Row],[Age]]&lt;45,"35–44",IF(Data[[#This Row],[Age]]&lt;55,"45–54","55+"))))</f>
        <v>35–44</v>
      </c>
      <c r="H1095" t="s">
        <v>49</v>
      </c>
      <c r="I1095" t="s">
        <v>56</v>
      </c>
      <c r="J1095" t="s">
        <v>19</v>
      </c>
      <c r="K1095" s="1">
        <v>41366</v>
      </c>
      <c r="M1095" s="1" t="str">
        <f>IF(ISBLANK(Data[[#This Row],[EndDate]]),"Active","InActive")</f>
        <v>Active</v>
      </c>
      <c r="N1095" t="s">
        <v>57</v>
      </c>
      <c r="O1095" t="s">
        <v>75</v>
      </c>
      <c r="P1095" t="s">
        <v>32</v>
      </c>
      <c r="Q1095" s="2">
        <v>31709</v>
      </c>
    </row>
    <row r="1096" spans="1:17" x14ac:dyDescent="0.2">
      <c r="A1096" s="1">
        <v>43070</v>
      </c>
      <c r="B1096">
        <v>95726</v>
      </c>
      <c r="C1096" t="s">
        <v>79</v>
      </c>
      <c r="D1096" t="s">
        <v>52</v>
      </c>
      <c r="E1096" t="s">
        <v>53</v>
      </c>
      <c r="F1096" s="5">
        <v>37</v>
      </c>
      <c r="G1096" t="str">
        <f>IF(Data[[#This Row],[Age]]&lt;25,"Under 25",IF(Data[[#This Row],[Age]]&lt;35,"25–34",IF(Data[[#This Row],[Age]]&lt;45,"35–44",IF(Data[[#This Row],[Age]]&lt;55,"45–54","55+"))))</f>
        <v>35–44</v>
      </c>
      <c r="H1096" t="s">
        <v>31</v>
      </c>
      <c r="I1096" t="s">
        <v>56</v>
      </c>
      <c r="J1096" t="s">
        <v>19</v>
      </c>
      <c r="K1096" s="1">
        <v>41478</v>
      </c>
      <c r="M1096" s="1" t="str">
        <f>IF(ISBLANK(Data[[#This Row],[EndDate]]),"Active","InActive")</f>
        <v>Active</v>
      </c>
      <c r="N1096" t="s">
        <v>57</v>
      </c>
      <c r="O1096" t="s">
        <v>75</v>
      </c>
      <c r="P1096" t="s">
        <v>32</v>
      </c>
      <c r="Q1096" s="2">
        <v>23162</v>
      </c>
    </row>
    <row r="1097" spans="1:17" x14ac:dyDescent="0.2">
      <c r="A1097" s="1">
        <v>43435</v>
      </c>
      <c r="B1097">
        <v>92328</v>
      </c>
      <c r="C1097" t="s">
        <v>79</v>
      </c>
      <c r="D1097" t="s">
        <v>50</v>
      </c>
      <c r="E1097" t="s">
        <v>55</v>
      </c>
      <c r="F1097" s="5">
        <v>37</v>
      </c>
      <c r="G1097" t="str">
        <f>IF(Data[[#This Row],[Age]]&lt;25,"Under 25",IF(Data[[#This Row],[Age]]&lt;35,"25–34",IF(Data[[#This Row],[Age]]&lt;45,"35–44",IF(Data[[#This Row],[Age]]&lt;55,"45–54","55+"))))</f>
        <v>35–44</v>
      </c>
      <c r="H1097" t="s">
        <v>49</v>
      </c>
      <c r="I1097" t="s">
        <v>56</v>
      </c>
      <c r="J1097" t="s">
        <v>19</v>
      </c>
      <c r="K1097" s="1">
        <v>39848</v>
      </c>
      <c r="M1097" s="1" t="str">
        <f>IF(ISBLANK(Data[[#This Row],[EndDate]]),"Active","InActive")</f>
        <v>Active</v>
      </c>
      <c r="N1097" t="s">
        <v>57</v>
      </c>
      <c r="O1097" t="s">
        <v>75</v>
      </c>
      <c r="P1097" t="s">
        <v>40</v>
      </c>
      <c r="Q1097" s="2">
        <v>13468</v>
      </c>
    </row>
    <row r="1098" spans="1:17" x14ac:dyDescent="0.2">
      <c r="A1098" s="1">
        <v>43435</v>
      </c>
      <c r="B1098">
        <v>92444</v>
      </c>
      <c r="C1098" t="s">
        <v>79</v>
      </c>
      <c r="D1098" t="s">
        <v>43</v>
      </c>
      <c r="E1098" t="s">
        <v>44</v>
      </c>
      <c r="F1098" s="5">
        <v>37</v>
      </c>
      <c r="G1098" t="str">
        <f>IF(Data[[#This Row],[Age]]&lt;25,"Under 25",IF(Data[[#This Row],[Age]]&lt;35,"25–34",IF(Data[[#This Row],[Age]]&lt;45,"35–44",IF(Data[[#This Row],[Age]]&lt;55,"45–54","55+"))))</f>
        <v>35–44</v>
      </c>
      <c r="H1098" t="s">
        <v>25</v>
      </c>
      <c r="I1098" t="s">
        <v>56</v>
      </c>
      <c r="J1098" t="s">
        <v>19</v>
      </c>
      <c r="K1098" s="1">
        <v>41912</v>
      </c>
      <c r="M1098" s="1" t="str">
        <f>IF(ISBLANK(Data[[#This Row],[EndDate]]),"Active","InActive")</f>
        <v>Active</v>
      </c>
      <c r="N1098" t="s">
        <v>57</v>
      </c>
      <c r="O1098" t="s">
        <v>75</v>
      </c>
      <c r="P1098" t="s">
        <v>40</v>
      </c>
      <c r="Q1098" s="2">
        <v>34817</v>
      </c>
    </row>
    <row r="1099" spans="1:17" x14ac:dyDescent="0.2">
      <c r="A1099" s="1">
        <v>43435</v>
      </c>
      <c r="B1099">
        <v>97344</v>
      </c>
      <c r="C1099" t="s">
        <v>79</v>
      </c>
      <c r="D1099" t="s">
        <v>47</v>
      </c>
      <c r="E1099" t="s">
        <v>73</v>
      </c>
      <c r="F1099" s="5">
        <v>37</v>
      </c>
      <c r="G1099" t="str">
        <f>IF(Data[[#This Row],[Age]]&lt;25,"Under 25",IF(Data[[#This Row],[Age]]&lt;35,"25–34",IF(Data[[#This Row],[Age]]&lt;45,"35–44",IF(Data[[#This Row],[Age]]&lt;55,"45–54","55+"))))</f>
        <v>35–44</v>
      </c>
      <c r="H1099" t="s">
        <v>25</v>
      </c>
      <c r="I1099" t="s">
        <v>56</v>
      </c>
      <c r="J1099" t="s">
        <v>19</v>
      </c>
      <c r="K1099" s="1">
        <v>37679</v>
      </c>
      <c r="M1099" s="1" t="str">
        <f>IF(ISBLANK(Data[[#This Row],[EndDate]]),"Active","InActive")</f>
        <v>Active</v>
      </c>
      <c r="N1099" t="s">
        <v>57</v>
      </c>
      <c r="O1099" t="s">
        <v>75</v>
      </c>
      <c r="P1099" t="s">
        <v>40</v>
      </c>
      <c r="Q1099" s="2">
        <v>29859</v>
      </c>
    </row>
    <row r="1100" spans="1:17" x14ac:dyDescent="0.2">
      <c r="A1100" s="1">
        <v>43435</v>
      </c>
      <c r="B1100">
        <v>95762</v>
      </c>
      <c r="C1100" t="s">
        <v>79</v>
      </c>
      <c r="D1100" t="s">
        <v>41</v>
      </c>
      <c r="E1100" t="s">
        <v>62</v>
      </c>
      <c r="F1100" s="5">
        <v>37</v>
      </c>
      <c r="G1100" t="str">
        <f>IF(Data[[#This Row],[Age]]&lt;25,"Under 25",IF(Data[[#This Row],[Age]]&lt;35,"25–34",IF(Data[[#This Row],[Age]]&lt;45,"35–44",IF(Data[[#This Row],[Age]]&lt;55,"45–54","55+"))))</f>
        <v>35–44</v>
      </c>
      <c r="H1100" t="s">
        <v>31</v>
      </c>
      <c r="I1100" t="s">
        <v>56</v>
      </c>
      <c r="J1100" t="s">
        <v>19</v>
      </c>
      <c r="K1100" s="1">
        <v>39687</v>
      </c>
      <c r="M1100" s="1" t="str">
        <f>IF(ISBLANK(Data[[#This Row],[EndDate]]),"Active","InActive")</f>
        <v>Active</v>
      </c>
      <c r="N1100" t="s">
        <v>57</v>
      </c>
      <c r="O1100" t="s">
        <v>75</v>
      </c>
      <c r="P1100" t="s">
        <v>40</v>
      </c>
      <c r="Q1100" s="2">
        <v>7474</v>
      </c>
    </row>
    <row r="1101" spans="1:17" x14ac:dyDescent="0.2">
      <c r="A1101" s="1">
        <v>42705</v>
      </c>
      <c r="B1101">
        <v>99524</v>
      </c>
      <c r="C1101" t="s">
        <v>79</v>
      </c>
      <c r="D1101" t="s">
        <v>27</v>
      </c>
      <c r="E1101" t="s">
        <v>72</v>
      </c>
      <c r="F1101" s="5">
        <v>37</v>
      </c>
      <c r="G1101" t="str">
        <f>IF(Data[[#This Row],[Age]]&lt;25,"Under 25",IF(Data[[#This Row],[Age]]&lt;35,"25–34",IF(Data[[#This Row],[Age]]&lt;45,"35–44",IF(Data[[#This Row],[Age]]&lt;55,"45–54","55+"))))</f>
        <v>35–44</v>
      </c>
      <c r="H1101" t="s">
        <v>46</v>
      </c>
      <c r="I1101" t="s">
        <v>18</v>
      </c>
      <c r="J1101" t="s">
        <v>35</v>
      </c>
      <c r="K1101" s="1">
        <v>41242</v>
      </c>
      <c r="M1101" s="1" t="str">
        <f>IF(ISBLANK(Data[[#This Row],[EndDate]]),"Active","InActive")</f>
        <v>Active</v>
      </c>
      <c r="N1101" t="s">
        <v>20</v>
      </c>
      <c r="O1101" t="s">
        <v>75</v>
      </c>
      <c r="P1101" t="s">
        <v>22</v>
      </c>
      <c r="Q1101" s="2">
        <v>23754</v>
      </c>
    </row>
    <row r="1102" spans="1:17" x14ac:dyDescent="0.2">
      <c r="A1102" s="1">
        <v>43435</v>
      </c>
      <c r="B1102">
        <v>52824</v>
      </c>
      <c r="C1102" t="s">
        <v>79</v>
      </c>
      <c r="D1102" t="s">
        <v>43</v>
      </c>
      <c r="E1102" t="s">
        <v>60</v>
      </c>
      <c r="F1102" s="5">
        <v>38</v>
      </c>
      <c r="G1102" t="str">
        <f>IF(Data[[#This Row],[Age]]&lt;25,"Under 25",IF(Data[[#This Row],[Age]]&lt;35,"25–34",IF(Data[[#This Row],[Age]]&lt;45,"35–44",IF(Data[[#This Row],[Age]]&lt;55,"45–54","55+"))))</f>
        <v>35–44</v>
      </c>
      <c r="H1102" t="s">
        <v>34</v>
      </c>
      <c r="I1102" t="s">
        <v>56</v>
      </c>
      <c r="J1102" t="s">
        <v>37</v>
      </c>
      <c r="K1102" s="1">
        <v>41704</v>
      </c>
      <c r="M1102" s="1" t="str">
        <f>IF(ISBLANK(Data[[#This Row],[EndDate]]),"Active","InActive")</f>
        <v>Active</v>
      </c>
      <c r="N1102" t="s">
        <v>57</v>
      </c>
      <c r="O1102" t="s">
        <v>75</v>
      </c>
      <c r="P1102" t="s">
        <v>40</v>
      </c>
      <c r="Q1102" s="2">
        <v>36784</v>
      </c>
    </row>
    <row r="1103" spans="1:17" x14ac:dyDescent="0.2">
      <c r="A1103" s="1">
        <v>43435</v>
      </c>
      <c r="B1103">
        <v>52970</v>
      </c>
      <c r="C1103" t="s">
        <v>80</v>
      </c>
      <c r="D1103" t="s">
        <v>23</v>
      </c>
      <c r="E1103" t="s">
        <v>65</v>
      </c>
      <c r="F1103" s="5">
        <v>38</v>
      </c>
      <c r="G1103" t="str">
        <f>IF(Data[[#This Row],[Age]]&lt;25,"Under 25",IF(Data[[#This Row],[Age]]&lt;35,"25–34",IF(Data[[#This Row],[Age]]&lt;45,"35–44",IF(Data[[#This Row],[Age]]&lt;55,"45–54","55+"))))</f>
        <v>35–44</v>
      </c>
      <c r="H1103" t="s">
        <v>49</v>
      </c>
      <c r="I1103" t="s">
        <v>56</v>
      </c>
      <c r="J1103" t="s">
        <v>37</v>
      </c>
      <c r="K1103" s="1">
        <v>35350</v>
      </c>
      <c r="M1103" s="1" t="str">
        <f>IF(ISBLANK(Data[[#This Row],[EndDate]]),"Active","InActive")</f>
        <v>Active</v>
      </c>
      <c r="N1103" t="s">
        <v>57</v>
      </c>
      <c r="O1103" t="s">
        <v>75</v>
      </c>
      <c r="P1103" t="s">
        <v>40</v>
      </c>
      <c r="Q1103" s="2">
        <v>29184</v>
      </c>
    </row>
    <row r="1104" spans="1:17" x14ac:dyDescent="0.2">
      <c r="A1104" s="1">
        <v>43435</v>
      </c>
      <c r="B1104">
        <v>53184</v>
      </c>
      <c r="C1104" t="s">
        <v>79</v>
      </c>
      <c r="D1104" t="s">
        <v>52</v>
      </c>
      <c r="E1104" t="s">
        <v>67</v>
      </c>
      <c r="F1104" s="5">
        <v>38</v>
      </c>
      <c r="G1104" t="str">
        <f>IF(Data[[#This Row],[Age]]&lt;25,"Under 25",IF(Data[[#This Row],[Age]]&lt;35,"25–34",IF(Data[[#This Row],[Age]]&lt;45,"35–44",IF(Data[[#This Row],[Age]]&lt;55,"45–54","55+"))))</f>
        <v>35–44</v>
      </c>
      <c r="H1104" t="s">
        <v>31</v>
      </c>
      <c r="I1104" t="s">
        <v>56</v>
      </c>
      <c r="J1104" t="s">
        <v>37</v>
      </c>
      <c r="K1104" s="1">
        <v>41766</v>
      </c>
      <c r="M1104" s="1" t="str">
        <f>IF(ISBLANK(Data[[#This Row],[EndDate]]),"Active","InActive")</f>
        <v>Active</v>
      </c>
      <c r="N1104" t="s">
        <v>57</v>
      </c>
      <c r="O1104" t="s">
        <v>75</v>
      </c>
      <c r="P1104" t="s">
        <v>40</v>
      </c>
      <c r="Q1104" s="2">
        <v>15960</v>
      </c>
    </row>
    <row r="1105" spans="1:17" x14ac:dyDescent="0.2">
      <c r="A1105" s="1">
        <v>43435</v>
      </c>
      <c r="B1105">
        <v>53356</v>
      </c>
      <c r="C1105" t="s">
        <v>79</v>
      </c>
      <c r="D1105" t="s">
        <v>15</v>
      </c>
      <c r="E1105" t="s">
        <v>58</v>
      </c>
      <c r="F1105" s="5">
        <v>38</v>
      </c>
      <c r="G1105" t="str">
        <f>IF(Data[[#This Row],[Age]]&lt;25,"Under 25",IF(Data[[#This Row],[Age]]&lt;35,"25–34",IF(Data[[#This Row],[Age]]&lt;45,"35–44",IF(Data[[#This Row],[Age]]&lt;55,"45–54","55+"))))</f>
        <v>35–44</v>
      </c>
      <c r="H1105" t="s">
        <v>59</v>
      </c>
      <c r="I1105" t="s">
        <v>56</v>
      </c>
      <c r="J1105" t="s">
        <v>35</v>
      </c>
      <c r="K1105" s="1">
        <v>41687</v>
      </c>
      <c r="M1105" s="1" t="str">
        <f>IF(ISBLANK(Data[[#This Row],[EndDate]]),"Active","InActive")</f>
        <v>Active</v>
      </c>
      <c r="N1105" t="s">
        <v>57</v>
      </c>
      <c r="O1105" t="s">
        <v>75</v>
      </c>
      <c r="P1105" t="s">
        <v>40</v>
      </c>
      <c r="Q1105" s="2">
        <v>20254</v>
      </c>
    </row>
    <row r="1106" spans="1:17" x14ac:dyDescent="0.2">
      <c r="A1106" s="1">
        <v>43435</v>
      </c>
      <c r="B1106">
        <v>54372</v>
      </c>
      <c r="C1106" t="s">
        <v>79</v>
      </c>
      <c r="D1106" t="s">
        <v>47</v>
      </c>
      <c r="E1106" t="s">
        <v>73</v>
      </c>
      <c r="F1106" s="5">
        <v>38</v>
      </c>
      <c r="G1106" t="str">
        <f>IF(Data[[#This Row],[Age]]&lt;25,"Under 25",IF(Data[[#This Row],[Age]]&lt;35,"25–34",IF(Data[[#This Row],[Age]]&lt;45,"35–44",IF(Data[[#This Row],[Age]]&lt;55,"45–54","55+"))))</f>
        <v>35–44</v>
      </c>
      <c r="H1106" t="s">
        <v>17</v>
      </c>
      <c r="I1106" t="s">
        <v>56</v>
      </c>
      <c r="J1106" t="s">
        <v>37</v>
      </c>
      <c r="K1106" s="1">
        <v>40918</v>
      </c>
      <c r="M1106" s="1" t="str">
        <f>IF(ISBLANK(Data[[#This Row],[EndDate]]),"Active","InActive")</f>
        <v>Active</v>
      </c>
      <c r="N1106" t="s">
        <v>57</v>
      </c>
      <c r="O1106" t="s">
        <v>75</v>
      </c>
      <c r="P1106" t="s">
        <v>40</v>
      </c>
      <c r="Q1106" s="2">
        <v>4408</v>
      </c>
    </row>
    <row r="1107" spans="1:17" x14ac:dyDescent="0.2">
      <c r="A1107" s="1">
        <v>43435</v>
      </c>
      <c r="B1107">
        <v>53368</v>
      </c>
      <c r="C1107" t="s">
        <v>79</v>
      </c>
      <c r="D1107" t="s">
        <v>41</v>
      </c>
      <c r="E1107" t="s">
        <v>62</v>
      </c>
      <c r="F1107" s="5">
        <v>38</v>
      </c>
      <c r="G1107" t="str">
        <f>IF(Data[[#This Row],[Age]]&lt;25,"Under 25",IF(Data[[#This Row],[Age]]&lt;35,"25–34",IF(Data[[#This Row],[Age]]&lt;45,"35–44",IF(Data[[#This Row],[Age]]&lt;55,"45–54","55+"))))</f>
        <v>35–44</v>
      </c>
      <c r="H1107" t="s">
        <v>17</v>
      </c>
      <c r="I1107" t="s">
        <v>56</v>
      </c>
      <c r="J1107" t="s">
        <v>35</v>
      </c>
      <c r="K1107" s="1">
        <v>40991</v>
      </c>
      <c r="M1107" s="1" t="str">
        <f>IF(ISBLANK(Data[[#This Row],[EndDate]]),"Active","InActive")</f>
        <v>Active</v>
      </c>
      <c r="N1107" t="s">
        <v>57</v>
      </c>
      <c r="O1107" t="s">
        <v>75</v>
      </c>
      <c r="P1107" t="s">
        <v>40</v>
      </c>
      <c r="Q1107" s="2">
        <v>25536</v>
      </c>
    </row>
    <row r="1108" spans="1:17" x14ac:dyDescent="0.2">
      <c r="A1108" s="1">
        <v>43435</v>
      </c>
      <c r="B1108">
        <v>54306</v>
      </c>
      <c r="C1108" t="s">
        <v>80</v>
      </c>
      <c r="D1108" t="s">
        <v>27</v>
      </c>
      <c r="E1108" t="s">
        <v>74</v>
      </c>
      <c r="F1108" s="5">
        <v>38</v>
      </c>
      <c r="G1108" t="str">
        <f>IF(Data[[#This Row],[Age]]&lt;25,"Under 25",IF(Data[[#This Row],[Age]]&lt;35,"25–34",IF(Data[[#This Row],[Age]]&lt;45,"35–44",IF(Data[[#This Row],[Age]]&lt;55,"45–54","55+"))))</f>
        <v>35–44</v>
      </c>
      <c r="H1108" t="s">
        <v>31</v>
      </c>
      <c r="I1108" t="s">
        <v>18</v>
      </c>
      <c r="J1108" t="s">
        <v>35</v>
      </c>
      <c r="K1108" s="1">
        <v>40828</v>
      </c>
      <c r="M1108" s="1" t="str">
        <f>IF(ISBLANK(Data[[#This Row],[EndDate]]),"Active","InActive")</f>
        <v>Active</v>
      </c>
      <c r="N1108" t="s">
        <v>20</v>
      </c>
      <c r="O1108" t="s">
        <v>75</v>
      </c>
      <c r="P1108" t="s">
        <v>40</v>
      </c>
      <c r="Q1108" s="2">
        <v>16036</v>
      </c>
    </row>
    <row r="1109" spans="1:17" x14ac:dyDescent="0.2">
      <c r="A1109" s="1">
        <v>42705</v>
      </c>
      <c r="B1109">
        <v>30248</v>
      </c>
      <c r="C1109" t="s">
        <v>79</v>
      </c>
      <c r="D1109" t="s">
        <v>27</v>
      </c>
      <c r="E1109" t="s">
        <v>74</v>
      </c>
      <c r="F1109" s="5">
        <v>38</v>
      </c>
      <c r="G1109" t="str">
        <f>IF(Data[[#This Row],[Age]]&lt;25,"Under 25",IF(Data[[#This Row],[Age]]&lt;35,"25–34",IF(Data[[#This Row],[Age]]&lt;45,"35–44",IF(Data[[#This Row],[Age]]&lt;55,"45–54","55+"))))</f>
        <v>35–44</v>
      </c>
      <c r="H1109" t="s">
        <v>59</v>
      </c>
      <c r="I1109" t="s">
        <v>56</v>
      </c>
      <c r="J1109" t="s">
        <v>37</v>
      </c>
      <c r="K1109" s="1">
        <v>39035</v>
      </c>
      <c r="M1109" s="1" t="str">
        <f>IF(ISBLANK(Data[[#This Row],[EndDate]]),"Active","InActive")</f>
        <v>Active</v>
      </c>
      <c r="N1109" t="s">
        <v>57</v>
      </c>
      <c r="O1109" t="s">
        <v>75</v>
      </c>
      <c r="P1109" t="s">
        <v>22</v>
      </c>
      <c r="Q1109" s="2">
        <v>17822</v>
      </c>
    </row>
    <row r="1110" spans="1:17" x14ac:dyDescent="0.2">
      <c r="A1110" s="1">
        <v>42705</v>
      </c>
      <c r="B1110">
        <v>49296</v>
      </c>
      <c r="C1110" t="s">
        <v>80</v>
      </c>
      <c r="D1110" t="s">
        <v>27</v>
      </c>
      <c r="E1110" t="s">
        <v>74</v>
      </c>
      <c r="F1110" s="5">
        <v>38</v>
      </c>
      <c r="G1110" t="str">
        <f>IF(Data[[#This Row],[Age]]&lt;25,"Under 25",IF(Data[[#This Row],[Age]]&lt;35,"25–34",IF(Data[[#This Row],[Age]]&lt;45,"35–44",IF(Data[[#This Row],[Age]]&lt;55,"45–54","55+"))))</f>
        <v>35–44</v>
      </c>
      <c r="H1110" t="s">
        <v>25</v>
      </c>
      <c r="I1110" t="s">
        <v>18</v>
      </c>
      <c r="J1110" t="s">
        <v>37</v>
      </c>
      <c r="K1110" s="1">
        <v>40883</v>
      </c>
      <c r="M1110" s="1" t="str">
        <f>IF(ISBLANK(Data[[#This Row],[EndDate]]),"Active","InActive")</f>
        <v>Active</v>
      </c>
      <c r="N1110" t="s">
        <v>20</v>
      </c>
      <c r="O1110" t="s">
        <v>75</v>
      </c>
      <c r="P1110" t="s">
        <v>22</v>
      </c>
      <c r="Q1110" s="2">
        <v>14668</v>
      </c>
    </row>
    <row r="1111" spans="1:17" x14ac:dyDescent="0.2">
      <c r="A1111" s="1">
        <v>43435</v>
      </c>
      <c r="B1111">
        <v>51462</v>
      </c>
      <c r="C1111" t="s">
        <v>80</v>
      </c>
      <c r="D1111" t="s">
        <v>29</v>
      </c>
      <c r="E1111" t="s">
        <v>33</v>
      </c>
      <c r="F1111" s="5">
        <v>38</v>
      </c>
      <c r="G1111" t="str">
        <f>IF(Data[[#This Row],[Age]]&lt;25,"Under 25",IF(Data[[#This Row],[Age]]&lt;35,"25–34",IF(Data[[#This Row],[Age]]&lt;45,"35–44",IF(Data[[#This Row],[Age]]&lt;55,"45–54","55+"))))</f>
        <v>35–44</v>
      </c>
      <c r="H1111" t="s">
        <v>34</v>
      </c>
      <c r="I1111" t="s">
        <v>18</v>
      </c>
      <c r="J1111" t="s">
        <v>37</v>
      </c>
      <c r="K1111" s="1">
        <v>41929</v>
      </c>
      <c r="M1111" s="1" t="str">
        <f>IF(ISBLANK(Data[[#This Row],[EndDate]]),"Active","InActive")</f>
        <v>Active</v>
      </c>
      <c r="N1111" t="s">
        <v>20</v>
      </c>
      <c r="O1111" t="s">
        <v>75</v>
      </c>
      <c r="P1111" t="s">
        <v>40</v>
      </c>
      <c r="Q1111" s="2">
        <v>14136</v>
      </c>
    </row>
    <row r="1112" spans="1:17" x14ac:dyDescent="0.2">
      <c r="A1112" s="1">
        <v>42705</v>
      </c>
      <c r="B1112">
        <v>103510</v>
      </c>
      <c r="C1112" t="s">
        <v>80</v>
      </c>
      <c r="D1112" t="s">
        <v>43</v>
      </c>
      <c r="E1112" t="s">
        <v>60</v>
      </c>
      <c r="F1112" s="5">
        <v>38</v>
      </c>
      <c r="G1112" t="str">
        <f>IF(Data[[#This Row],[Age]]&lt;25,"Under 25",IF(Data[[#This Row],[Age]]&lt;35,"25–34",IF(Data[[#This Row],[Age]]&lt;45,"35–44",IF(Data[[#This Row],[Age]]&lt;55,"45–54","55+"))))</f>
        <v>35–44</v>
      </c>
      <c r="H1112" t="s">
        <v>31</v>
      </c>
      <c r="I1112" t="s">
        <v>18</v>
      </c>
      <c r="J1112" t="s">
        <v>37</v>
      </c>
      <c r="K1112" s="1">
        <v>40842</v>
      </c>
      <c r="M1112" s="1" t="str">
        <f>IF(ISBLANK(Data[[#This Row],[EndDate]]),"Active","InActive")</f>
        <v>Active</v>
      </c>
      <c r="N1112" t="s">
        <v>20</v>
      </c>
      <c r="O1112" t="s">
        <v>75</v>
      </c>
      <c r="P1112" t="s">
        <v>22</v>
      </c>
      <c r="Q1112" s="2">
        <v>33402</v>
      </c>
    </row>
    <row r="1113" spans="1:17" x14ac:dyDescent="0.2">
      <c r="A1113" s="1">
        <v>43070</v>
      </c>
      <c r="B1113">
        <v>1950</v>
      </c>
      <c r="C1113" t="s">
        <v>80</v>
      </c>
      <c r="D1113" t="s">
        <v>50</v>
      </c>
      <c r="E1113" t="s">
        <v>51</v>
      </c>
      <c r="F1113" s="5">
        <v>38</v>
      </c>
      <c r="G1113" t="str">
        <f>IF(Data[[#This Row],[Age]]&lt;25,"Under 25",IF(Data[[#This Row],[Age]]&lt;35,"25–34",IF(Data[[#This Row],[Age]]&lt;45,"35–44",IF(Data[[#This Row],[Age]]&lt;55,"45–54","55+"))))</f>
        <v>35–44</v>
      </c>
      <c r="H1113" t="s">
        <v>49</v>
      </c>
      <c r="I1113" t="s">
        <v>18</v>
      </c>
      <c r="J1113" t="s">
        <v>37</v>
      </c>
      <c r="K1113" s="1">
        <v>39687</v>
      </c>
      <c r="M1113" s="1" t="str">
        <f>IF(ISBLANK(Data[[#This Row],[EndDate]]),"Active","InActive")</f>
        <v>Active</v>
      </c>
      <c r="N1113" t="s">
        <v>20</v>
      </c>
      <c r="O1113" t="s">
        <v>75</v>
      </c>
      <c r="P1113" t="s">
        <v>32</v>
      </c>
      <c r="Q1113" s="2">
        <v>34922</v>
      </c>
    </row>
    <row r="1114" spans="1:17" x14ac:dyDescent="0.2">
      <c r="A1114" s="1">
        <v>42705</v>
      </c>
      <c r="B1114">
        <v>55722</v>
      </c>
      <c r="C1114" t="s">
        <v>80</v>
      </c>
      <c r="D1114" t="s">
        <v>41</v>
      </c>
      <c r="E1114" t="s">
        <v>62</v>
      </c>
      <c r="F1114" s="5">
        <v>38</v>
      </c>
      <c r="G1114" t="str">
        <f>IF(Data[[#This Row],[Age]]&lt;25,"Under 25",IF(Data[[#This Row],[Age]]&lt;35,"25–34",IF(Data[[#This Row],[Age]]&lt;45,"35–44",IF(Data[[#This Row],[Age]]&lt;55,"45–54","55+"))))</f>
        <v>35–44</v>
      </c>
      <c r="H1114" t="s">
        <v>59</v>
      </c>
      <c r="I1114" t="s">
        <v>18</v>
      </c>
      <c r="J1114" t="s">
        <v>35</v>
      </c>
      <c r="K1114" s="1">
        <v>40302</v>
      </c>
      <c r="M1114" s="1" t="str">
        <f>IF(ISBLANK(Data[[#This Row],[EndDate]]),"Active","InActive")</f>
        <v>Active</v>
      </c>
      <c r="N1114" t="s">
        <v>20</v>
      </c>
      <c r="O1114" t="s">
        <v>75</v>
      </c>
      <c r="P1114" t="s">
        <v>22</v>
      </c>
      <c r="Q1114" s="2">
        <v>27018</v>
      </c>
    </row>
    <row r="1115" spans="1:17" x14ac:dyDescent="0.2">
      <c r="A1115" s="1">
        <v>42705</v>
      </c>
      <c r="B1115">
        <v>55750</v>
      </c>
      <c r="C1115" t="s">
        <v>80</v>
      </c>
      <c r="D1115" t="s">
        <v>50</v>
      </c>
      <c r="E1115" t="s">
        <v>63</v>
      </c>
      <c r="F1115" s="5">
        <v>38</v>
      </c>
      <c r="G1115" t="str">
        <f>IF(Data[[#This Row],[Age]]&lt;25,"Under 25",IF(Data[[#This Row],[Age]]&lt;35,"25–34",IF(Data[[#This Row],[Age]]&lt;45,"35–44",IF(Data[[#This Row],[Age]]&lt;55,"45–54","55+"))))</f>
        <v>35–44</v>
      </c>
      <c r="H1115" t="s">
        <v>49</v>
      </c>
      <c r="I1115" t="s">
        <v>56</v>
      </c>
      <c r="J1115" t="s">
        <v>35</v>
      </c>
      <c r="K1115" s="1">
        <v>40779</v>
      </c>
      <c r="M1115" s="1" t="str">
        <f>IF(ISBLANK(Data[[#This Row],[EndDate]]),"Active","InActive")</f>
        <v>Active</v>
      </c>
      <c r="N1115" t="s">
        <v>57</v>
      </c>
      <c r="O1115" t="s">
        <v>75</v>
      </c>
      <c r="P1115" t="s">
        <v>22</v>
      </c>
      <c r="Q1115" s="2">
        <v>10754</v>
      </c>
    </row>
    <row r="1116" spans="1:17" x14ac:dyDescent="0.2">
      <c r="A1116" s="1">
        <v>43070</v>
      </c>
      <c r="B1116">
        <v>92310</v>
      </c>
      <c r="C1116" t="s">
        <v>80</v>
      </c>
      <c r="D1116" t="s">
        <v>43</v>
      </c>
      <c r="E1116" t="s">
        <v>66</v>
      </c>
      <c r="F1116" s="5">
        <v>38</v>
      </c>
      <c r="G1116" t="str">
        <f>IF(Data[[#This Row],[Age]]&lt;25,"Under 25",IF(Data[[#This Row],[Age]]&lt;35,"25–34",IF(Data[[#This Row],[Age]]&lt;45,"35–44",IF(Data[[#This Row],[Age]]&lt;55,"45–54","55+"))))</f>
        <v>35–44</v>
      </c>
      <c r="H1116" t="s">
        <v>46</v>
      </c>
      <c r="I1116" t="s">
        <v>56</v>
      </c>
      <c r="J1116" t="s">
        <v>19</v>
      </c>
      <c r="K1116" s="1">
        <v>39624</v>
      </c>
      <c r="M1116" s="1" t="str">
        <f>IF(ISBLANK(Data[[#This Row],[EndDate]]),"Active","InActive")</f>
        <v>Active</v>
      </c>
      <c r="N1116" t="s">
        <v>57</v>
      </c>
      <c r="O1116" t="s">
        <v>75</v>
      </c>
      <c r="P1116" t="s">
        <v>32</v>
      </c>
      <c r="Q1116" s="2">
        <v>28918</v>
      </c>
    </row>
    <row r="1117" spans="1:17" x14ac:dyDescent="0.2">
      <c r="A1117" s="1">
        <v>43435</v>
      </c>
      <c r="B1117">
        <v>95738</v>
      </c>
      <c r="C1117" t="s">
        <v>80</v>
      </c>
      <c r="D1117" t="s">
        <v>50</v>
      </c>
      <c r="E1117" t="s">
        <v>63</v>
      </c>
      <c r="F1117" s="5">
        <v>38</v>
      </c>
      <c r="G1117" t="str">
        <f>IF(Data[[#This Row],[Age]]&lt;25,"Under 25",IF(Data[[#This Row],[Age]]&lt;35,"25–34",IF(Data[[#This Row],[Age]]&lt;45,"35–44",IF(Data[[#This Row],[Age]]&lt;55,"45–54","55+"))))</f>
        <v>35–44</v>
      </c>
      <c r="H1117" t="s">
        <v>59</v>
      </c>
      <c r="I1117" t="s">
        <v>56</v>
      </c>
      <c r="J1117" t="s">
        <v>19</v>
      </c>
      <c r="K1117" s="1">
        <v>41744</v>
      </c>
      <c r="M1117" s="1" t="str">
        <f>IF(ISBLANK(Data[[#This Row],[EndDate]]),"Active","InActive")</f>
        <v>Active</v>
      </c>
      <c r="N1117" t="s">
        <v>57</v>
      </c>
      <c r="O1117" t="s">
        <v>75</v>
      </c>
      <c r="P1117" t="s">
        <v>40</v>
      </c>
      <c r="Q1117" s="2">
        <v>12464</v>
      </c>
    </row>
    <row r="1118" spans="1:17" x14ac:dyDescent="0.2">
      <c r="A1118" s="1">
        <v>42705</v>
      </c>
      <c r="B1118">
        <v>92336</v>
      </c>
      <c r="C1118" t="s">
        <v>79</v>
      </c>
      <c r="D1118" t="s">
        <v>27</v>
      </c>
      <c r="E1118" t="s">
        <v>72</v>
      </c>
      <c r="F1118" s="5">
        <v>38</v>
      </c>
      <c r="G1118" t="str">
        <f>IF(Data[[#This Row],[Age]]&lt;25,"Under 25",IF(Data[[#This Row],[Age]]&lt;35,"25–34",IF(Data[[#This Row],[Age]]&lt;45,"35–44",IF(Data[[#This Row],[Age]]&lt;55,"45–54","55+"))))</f>
        <v>35–44</v>
      </c>
      <c r="H1118" t="s">
        <v>34</v>
      </c>
      <c r="I1118" t="s">
        <v>56</v>
      </c>
      <c r="J1118" t="s">
        <v>19</v>
      </c>
      <c r="K1118" s="1">
        <v>39869</v>
      </c>
      <c r="M1118" s="1" t="str">
        <f>IF(ISBLANK(Data[[#This Row],[EndDate]]),"Active","InActive")</f>
        <v>Active</v>
      </c>
      <c r="N1118" t="s">
        <v>57</v>
      </c>
      <c r="O1118" t="s">
        <v>75</v>
      </c>
      <c r="P1118" t="s">
        <v>22</v>
      </c>
      <c r="Q1118" s="2">
        <v>26448</v>
      </c>
    </row>
    <row r="1119" spans="1:17" x14ac:dyDescent="0.2">
      <c r="A1119" s="1">
        <v>42705</v>
      </c>
      <c r="B1119">
        <v>103362</v>
      </c>
      <c r="C1119" t="s">
        <v>79</v>
      </c>
      <c r="D1119" t="s">
        <v>29</v>
      </c>
      <c r="E1119" t="s">
        <v>36</v>
      </c>
      <c r="F1119" s="5">
        <v>38</v>
      </c>
      <c r="G1119" t="str">
        <f>IF(Data[[#This Row],[Age]]&lt;25,"Under 25",IF(Data[[#This Row],[Age]]&lt;35,"25–34",IF(Data[[#This Row],[Age]]&lt;45,"35–44",IF(Data[[#This Row],[Age]]&lt;55,"45–54","55+"))))</f>
        <v>35–44</v>
      </c>
      <c r="H1119" t="s">
        <v>49</v>
      </c>
      <c r="I1119" t="s">
        <v>56</v>
      </c>
      <c r="J1119" t="s">
        <v>19</v>
      </c>
      <c r="K1119" s="1">
        <v>39994</v>
      </c>
      <c r="M1119" s="1" t="str">
        <f>IF(ISBLANK(Data[[#This Row],[EndDate]]),"Active","InActive")</f>
        <v>Active</v>
      </c>
      <c r="N1119" t="s">
        <v>57</v>
      </c>
      <c r="O1119" t="s">
        <v>75</v>
      </c>
      <c r="P1119" t="s">
        <v>22</v>
      </c>
      <c r="Q1119" s="2">
        <v>6156</v>
      </c>
    </row>
    <row r="1120" spans="1:17" x14ac:dyDescent="0.2">
      <c r="A1120" s="1">
        <v>43070</v>
      </c>
      <c r="B1120">
        <v>92270</v>
      </c>
      <c r="C1120" t="s">
        <v>79</v>
      </c>
      <c r="D1120" t="s">
        <v>43</v>
      </c>
      <c r="E1120" t="s">
        <v>44</v>
      </c>
      <c r="F1120" s="5">
        <v>38</v>
      </c>
      <c r="G1120" t="str">
        <f>IF(Data[[#This Row],[Age]]&lt;25,"Under 25",IF(Data[[#This Row],[Age]]&lt;35,"25–34",IF(Data[[#This Row],[Age]]&lt;45,"35–44",IF(Data[[#This Row],[Age]]&lt;55,"45–54","55+"))))</f>
        <v>35–44</v>
      </c>
      <c r="H1120" t="s">
        <v>25</v>
      </c>
      <c r="I1120" t="s">
        <v>56</v>
      </c>
      <c r="J1120" t="s">
        <v>19</v>
      </c>
      <c r="K1120" s="1">
        <v>38804</v>
      </c>
      <c r="M1120" s="1" t="str">
        <f>IF(ISBLANK(Data[[#This Row],[EndDate]]),"Active","InActive")</f>
        <v>Active</v>
      </c>
      <c r="N1120" t="s">
        <v>57</v>
      </c>
      <c r="O1120" t="s">
        <v>75</v>
      </c>
      <c r="P1120" t="s">
        <v>32</v>
      </c>
      <c r="Q1120" s="2">
        <v>5586</v>
      </c>
    </row>
    <row r="1121" spans="1:17" x14ac:dyDescent="0.2">
      <c r="A1121" s="1">
        <v>43070</v>
      </c>
      <c r="B1121">
        <v>92440</v>
      </c>
      <c r="C1121" t="s">
        <v>79</v>
      </c>
      <c r="D1121" t="s">
        <v>38</v>
      </c>
      <c r="E1121" t="s">
        <v>39</v>
      </c>
      <c r="F1121" s="5">
        <v>38</v>
      </c>
      <c r="G1121" t="str">
        <f>IF(Data[[#This Row],[Age]]&lt;25,"Under 25",IF(Data[[#This Row],[Age]]&lt;35,"25–34",IF(Data[[#This Row],[Age]]&lt;45,"35–44",IF(Data[[#This Row],[Age]]&lt;55,"45–54","55+"))))</f>
        <v>35–44</v>
      </c>
      <c r="H1121" t="s">
        <v>46</v>
      </c>
      <c r="I1121" t="s">
        <v>56</v>
      </c>
      <c r="J1121" t="s">
        <v>19</v>
      </c>
      <c r="K1121" s="1">
        <v>40946</v>
      </c>
      <c r="M1121" s="1" t="str">
        <f>IF(ISBLANK(Data[[#This Row],[EndDate]]),"Active","InActive")</f>
        <v>Active</v>
      </c>
      <c r="N1121" t="s">
        <v>57</v>
      </c>
      <c r="O1121" t="s">
        <v>75</v>
      </c>
      <c r="P1121" t="s">
        <v>32</v>
      </c>
      <c r="Q1121" s="2">
        <v>10450</v>
      </c>
    </row>
    <row r="1122" spans="1:17" x14ac:dyDescent="0.2">
      <c r="A1122" s="1">
        <v>43435</v>
      </c>
      <c r="B1122">
        <v>92246</v>
      </c>
      <c r="C1122" t="s">
        <v>79</v>
      </c>
      <c r="D1122" t="s">
        <v>43</v>
      </c>
      <c r="E1122" t="s">
        <v>44</v>
      </c>
      <c r="F1122" s="5">
        <v>38</v>
      </c>
      <c r="G1122" t="str">
        <f>IF(Data[[#This Row],[Age]]&lt;25,"Under 25",IF(Data[[#This Row],[Age]]&lt;35,"25–34",IF(Data[[#This Row],[Age]]&lt;45,"35–44",IF(Data[[#This Row],[Age]]&lt;55,"45–54","55+"))))</f>
        <v>35–44</v>
      </c>
      <c r="H1122" t="s">
        <v>46</v>
      </c>
      <c r="I1122" t="s">
        <v>56</v>
      </c>
      <c r="J1122" t="s">
        <v>19</v>
      </c>
      <c r="K1122" s="1">
        <v>40456</v>
      </c>
      <c r="M1122" s="1" t="str">
        <f>IF(ISBLANK(Data[[#This Row],[EndDate]]),"Active","InActive")</f>
        <v>Active</v>
      </c>
      <c r="N1122" t="s">
        <v>57</v>
      </c>
      <c r="O1122" t="s">
        <v>75</v>
      </c>
      <c r="P1122" t="s">
        <v>40</v>
      </c>
      <c r="Q1122" s="2">
        <v>27968</v>
      </c>
    </row>
    <row r="1123" spans="1:17" x14ac:dyDescent="0.2">
      <c r="A1123" s="1">
        <v>43435</v>
      </c>
      <c r="B1123">
        <v>95722</v>
      </c>
      <c r="C1123" t="s">
        <v>79</v>
      </c>
      <c r="D1123" t="s">
        <v>23</v>
      </c>
      <c r="E1123" t="s">
        <v>24</v>
      </c>
      <c r="F1123" s="5">
        <v>38</v>
      </c>
      <c r="G1123" t="str">
        <f>IF(Data[[#This Row],[Age]]&lt;25,"Under 25",IF(Data[[#This Row],[Age]]&lt;35,"25–34",IF(Data[[#This Row],[Age]]&lt;45,"35–44",IF(Data[[#This Row],[Age]]&lt;55,"45–54","55+"))))</f>
        <v>35–44</v>
      </c>
      <c r="H1123" t="s">
        <v>49</v>
      </c>
      <c r="I1123" t="s">
        <v>56</v>
      </c>
      <c r="J1123" t="s">
        <v>19</v>
      </c>
      <c r="K1123" s="1">
        <v>41366</v>
      </c>
      <c r="M1123" s="1" t="str">
        <f>IF(ISBLANK(Data[[#This Row],[EndDate]]),"Active","InActive")</f>
        <v>Active</v>
      </c>
      <c r="N1123" t="s">
        <v>57</v>
      </c>
      <c r="O1123" t="s">
        <v>75</v>
      </c>
      <c r="P1123" t="s">
        <v>40</v>
      </c>
      <c r="Q1123" s="2">
        <v>34732</v>
      </c>
    </row>
    <row r="1124" spans="1:17" x14ac:dyDescent="0.2">
      <c r="A1124" s="1">
        <v>43435</v>
      </c>
      <c r="B1124">
        <v>95726</v>
      </c>
      <c r="C1124" t="s">
        <v>79</v>
      </c>
      <c r="D1124" t="s">
        <v>52</v>
      </c>
      <c r="E1124" t="s">
        <v>53</v>
      </c>
      <c r="F1124" s="5">
        <v>38</v>
      </c>
      <c r="G1124" t="str">
        <f>IF(Data[[#This Row],[Age]]&lt;25,"Under 25",IF(Data[[#This Row],[Age]]&lt;35,"25–34",IF(Data[[#This Row],[Age]]&lt;45,"35–44",IF(Data[[#This Row],[Age]]&lt;55,"45–54","55+"))))</f>
        <v>35–44</v>
      </c>
      <c r="H1124" t="s">
        <v>31</v>
      </c>
      <c r="I1124" t="s">
        <v>56</v>
      </c>
      <c r="J1124" t="s">
        <v>19</v>
      </c>
      <c r="K1124" s="1">
        <v>41478</v>
      </c>
      <c r="M1124" s="1" t="str">
        <f>IF(ISBLANK(Data[[#This Row],[EndDate]]),"Active","InActive")</f>
        <v>Active</v>
      </c>
      <c r="N1124" t="s">
        <v>57</v>
      </c>
      <c r="O1124" t="s">
        <v>75</v>
      </c>
      <c r="P1124" t="s">
        <v>40</v>
      </c>
      <c r="Q1124" s="2">
        <v>19988</v>
      </c>
    </row>
    <row r="1125" spans="1:17" x14ac:dyDescent="0.2">
      <c r="A1125" s="1">
        <v>43070</v>
      </c>
      <c r="B1125">
        <v>19754</v>
      </c>
      <c r="C1125" t="s">
        <v>80</v>
      </c>
      <c r="D1125" t="s">
        <v>27</v>
      </c>
      <c r="E1125" t="s">
        <v>72</v>
      </c>
      <c r="F1125" s="5">
        <v>38</v>
      </c>
      <c r="G1125" t="str">
        <f>IF(Data[[#This Row],[Age]]&lt;25,"Under 25",IF(Data[[#This Row],[Age]]&lt;35,"25–34",IF(Data[[#This Row],[Age]]&lt;45,"35–44",IF(Data[[#This Row],[Age]]&lt;55,"45–54","55+"))))</f>
        <v>35–44</v>
      </c>
      <c r="H1125" t="s">
        <v>34</v>
      </c>
      <c r="I1125" t="s">
        <v>18</v>
      </c>
      <c r="J1125" t="s">
        <v>37</v>
      </c>
      <c r="K1125" s="1">
        <v>41577</v>
      </c>
      <c r="M1125" s="1" t="str">
        <f>IF(ISBLANK(Data[[#This Row],[EndDate]]),"Active","InActive")</f>
        <v>Active</v>
      </c>
      <c r="N1125" t="s">
        <v>20</v>
      </c>
      <c r="O1125" t="s">
        <v>75</v>
      </c>
      <c r="P1125" t="s">
        <v>32</v>
      </c>
      <c r="Q1125" s="2">
        <v>18278</v>
      </c>
    </row>
    <row r="1126" spans="1:17" x14ac:dyDescent="0.2">
      <c r="A1126" s="1">
        <v>42705</v>
      </c>
      <c r="B1126">
        <v>53292</v>
      </c>
      <c r="C1126" t="s">
        <v>79</v>
      </c>
      <c r="D1126" t="s">
        <v>15</v>
      </c>
      <c r="E1126" t="s">
        <v>16</v>
      </c>
      <c r="F1126" s="5">
        <v>39</v>
      </c>
      <c r="G1126" t="str">
        <f>IF(Data[[#This Row],[Age]]&lt;25,"Under 25",IF(Data[[#This Row],[Age]]&lt;35,"25–34",IF(Data[[#This Row],[Age]]&lt;45,"35–44",IF(Data[[#This Row],[Age]]&lt;55,"45–54","55+"))))</f>
        <v>35–44</v>
      </c>
      <c r="H1126" t="s">
        <v>34</v>
      </c>
      <c r="I1126" t="s">
        <v>56</v>
      </c>
      <c r="J1126" t="s">
        <v>35</v>
      </c>
      <c r="K1126" s="1">
        <v>34124</v>
      </c>
      <c r="M1126" s="1" t="str">
        <f>IF(ISBLANK(Data[[#This Row],[EndDate]]),"Active","InActive")</f>
        <v>Active</v>
      </c>
      <c r="N1126" t="s">
        <v>57</v>
      </c>
      <c r="O1126" t="s">
        <v>75</v>
      </c>
      <c r="P1126" t="s">
        <v>22</v>
      </c>
      <c r="Q1126" s="2">
        <v>9711</v>
      </c>
    </row>
    <row r="1127" spans="1:17" x14ac:dyDescent="0.2">
      <c r="A1127" s="1">
        <v>43435</v>
      </c>
      <c r="B1127">
        <v>42928</v>
      </c>
      <c r="C1127" t="s">
        <v>80</v>
      </c>
      <c r="D1127" t="s">
        <v>29</v>
      </c>
      <c r="E1127" t="s">
        <v>33</v>
      </c>
      <c r="F1127" s="5">
        <v>39</v>
      </c>
      <c r="G1127" t="str">
        <f>IF(Data[[#This Row],[Age]]&lt;25,"Under 25",IF(Data[[#This Row],[Age]]&lt;35,"25–34",IF(Data[[#This Row],[Age]]&lt;45,"35–44",IF(Data[[#This Row],[Age]]&lt;55,"45–54","55+"))))</f>
        <v>35–44</v>
      </c>
      <c r="H1127" t="s">
        <v>59</v>
      </c>
      <c r="I1127" t="s">
        <v>18</v>
      </c>
      <c r="J1127" t="s">
        <v>35</v>
      </c>
      <c r="K1127" s="1">
        <v>41940</v>
      </c>
      <c r="M1127" s="1" t="str">
        <f>IF(ISBLANK(Data[[#This Row],[EndDate]]),"Active","InActive")</f>
        <v>Active</v>
      </c>
      <c r="N1127" t="s">
        <v>20</v>
      </c>
      <c r="O1127" t="s">
        <v>75</v>
      </c>
      <c r="P1127" t="s">
        <v>40</v>
      </c>
      <c r="Q1127" s="2">
        <v>11310</v>
      </c>
    </row>
    <row r="1128" spans="1:17" x14ac:dyDescent="0.2">
      <c r="A1128" s="1">
        <v>43070</v>
      </c>
      <c r="B1128">
        <v>30248</v>
      </c>
      <c r="C1128" t="s">
        <v>79</v>
      </c>
      <c r="D1128" t="s">
        <v>27</v>
      </c>
      <c r="E1128" t="s">
        <v>74</v>
      </c>
      <c r="F1128" s="5">
        <v>39</v>
      </c>
      <c r="G1128" t="str">
        <f>IF(Data[[#This Row],[Age]]&lt;25,"Under 25",IF(Data[[#This Row],[Age]]&lt;35,"25–34",IF(Data[[#This Row],[Age]]&lt;45,"35–44",IF(Data[[#This Row],[Age]]&lt;55,"45–54","55+"))))</f>
        <v>35–44</v>
      </c>
      <c r="H1128" t="s">
        <v>59</v>
      </c>
      <c r="I1128" t="s">
        <v>56</v>
      </c>
      <c r="J1128" t="s">
        <v>37</v>
      </c>
      <c r="K1128" s="1">
        <v>39035</v>
      </c>
      <c r="M1128" s="1" t="str">
        <f>IF(ISBLANK(Data[[#This Row],[EndDate]]),"Active","InActive")</f>
        <v>Active</v>
      </c>
      <c r="N1128" t="s">
        <v>57</v>
      </c>
      <c r="O1128" t="s">
        <v>75</v>
      </c>
      <c r="P1128" t="s">
        <v>32</v>
      </c>
      <c r="Q1128" s="2">
        <v>35100</v>
      </c>
    </row>
    <row r="1129" spans="1:17" x14ac:dyDescent="0.2">
      <c r="A1129" s="1">
        <v>43070</v>
      </c>
      <c r="B1129">
        <v>49296</v>
      </c>
      <c r="C1129" t="s">
        <v>80</v>
      </c>
      <c r="D1129" t="s">
        <v>27</v>
      </c>
      <c r="E1129" t="s">
        <v>74</v>
      </c>
      <c r="F1129" s="5">
        <v>39</v>
      </c>
      <c r="G1129" t="str">
        <f>IF(Data[[#This Row],[Age]]&lt;25,"Under 25",IF(Data[[#This Row],[Age]]&lt;35,"25–34",IF(Data[[#This Row],[Age]]&lt;45,"35–44",IF(Data[[#This Row],[Age]]&lt;55,"45–54","55+"))))</f>
        <v>35–44</v>
      </c>
      <c r="H1129" t="s">
        <v>25</v>
      </c>
      <c r="I1129" t="s">
        <v>18</v>
      </c>
      <c r="J1129" t="s">
        <v>37</v>
      </c>
      <c r="K1129" s="1">
        <v>40883</v>
      </c>
      <c r="M1129" s="1" t="str">
        <f>IF(ISBLANK(Data[[#This Row],[EndDate]]),"Active","InActive")</f>
        <v>Active</v>
      </c>
      <c r="N1129" t="s">
        <v>20</v>
      </c>
      <c r="O1129" t="s">
        <v>75</v>
      </c>
      <c r="P1129" t="s">
        <v>32</v>
      </c>
      <c r="Q1129" s="2">
        <v>14781</v>
      </c>
    </row>
    <row r="1130" spans="1:17" x14ac:dyDescent="0.2">
      <c r="A1130" s="1">
        <v>43070</v>
      </c>
      <c r="B1130">
        <v>56424</v>
      </c>
      <c r="C1130" t="s">
        <v>80</v>
      </c>
      <c r="D1130" t="s">
        <v>29</v>
      </c>
      <c r="E1130" t="s">
        <v>33</v>
      </c>
      <c r="F1130" s="5">
        <v>39</v>
      </c>
      <c r="G1130" t="str">
        <f>IF(Data[[#This Row],[Age]]&lt;25,"Under 25",IF(Data[[#This Row],[Age]]&lt;35,"25–34",IF(Data[[#This Row],[Age]]&lt;45,"35–44",IF(Data[[#This Row],[Age]]&lt;55,"45–54","55+"))))</f>
        <v>35–44</v>
      </c>
      <c r="H1130" t="s">
        <v>31</v>
      </c>
      <c r="I1130" t="s">
        <v>18</v>
      </c>
      <c r="J1130" t="s">
        <v>37</v>
      </c>
      <c r="K1130" s="1">
        <v>41584</v>
      </c>
      <c r="M1130" s="1" t="str">
        <f>IF(ISBLANK(Data[[#This Row],[EndDate]]),"Active","InActive")</f>
        <v>Active</v>
      </c>
      <c r="N1130" t="s">
        <v>20</v>
      </c>
      <c r="O1130" t="s">
        <v>75</v>
      </c>
      <c r="P1130" t="s">
        <v>32</v>
      </c>
      <c r="Q1130" s="2">
        <v>15522</v>
      </c>
    </row>
    <row r="1131" spans="1:17" x14ac:dyDescent="0.2">
      <c r="A1131" s="1">
        <v>42705</v>
      </c>
      <c r="B1131">
        <v>51622</v>
      </c>
      <c r="C1131" t="s">
        <v>79</v>
      </c>
      <c r="D1131" t="s">
        <v>23</v>
      </c>
      <c r="E1131" t="s">
        <v>65</v>
      </c>
      <c r="F1131" s="5">
        <v>39</v>
      </c>
      <c r="G1131" t="str">
        <f>IF(Data[[#This Row],[Age]]&lt;25,"Under 25",IF(Data[[#This Row],[Age]]&lt;35,"25–34",IF(Data[[#This Row],[Age]]&lt;45,"35–44",IF(Data[[#This Row],[Age]]&lt;55,"45–54","55+"))))</f>
        <v>35–44</v>
      </c>
      <c r="H1131" t="s">
        <v>31</v>
      </c>
      <c r="I1131" t="s">
        <v>56</v>
      </c>
      <c r="J1131" t="s">
        <v>35</v>
      </c>
      <c r="K1131" s="1">
        <v>35969</v>
      </c>
      <c r="M1131" s="1" t="str">
        <f>IF(ISBLANK(Data[[#This Row],[EndDate]]),"Active","InActive")</f>
        <v>Active</v>
      </c>
      <c r="N1131" t="s">
        <v>57</v>
      </c>
      <c r="O1131" t="s">
        <v>75</v>
      </c>
      <c r="P1131" t="s">
        <v>22</v>
      </c>
      <c r="Q1131" s="2">
        <v>23595</v>
      </c>
    </row>
    <row r="1132" spans="1:17" x14ac:dyDescent="0.2">
      <c r="A1132" s="1">
        <v>42705</v>
      </c>
      <c r="B1132">
        <v>53752</v>
      </c>
      <c r="C1132" t="s">
        <v>80</v>
      </c>
      <c r="D1132" t="s">
        <v>29</v>
      </c>
      <c r="E1132" t="s">
        <v>33</v>
      </c>
      <c r="F1132" s="5">
        <v>39</v>
      </c>
      <c r="G1132" t="str">
        <f>IF(Data[[#This Row],[Age]]&lt;25,"Under 25",IF(Data[[#This Row],[Age]]&lt;35,"25–34",IF(Data[[#This Row],[Age]]&lt;45,"35–44",IF(Data[[#This Row],[Age]]&lt;55,"45–54","55+"))))</f>
        <v>35–44</v>
      </c>
      <c r="H1132" t="s">
        <v>49</v>
      </c>
      <c r="I1132" t="s">
        <v>18</v>
      </c>
      <c r="J1132" t="s">
        <v>35</v>
      </c>
      <c r="K1132" s="1">
        <v>39406</v>
      </c>
      <c r="M1132" s="1" t="str">
        <f>IF(ISBLANK(Data[[#This Row],[EndDate]]),"Active","InActive")</f>
        <v>Active</v>
      </c>
      <c r="N1132" t="s">
        <v>20</v>
      </c>
      <c r="O1132" t="s">
        <v>75</v>
      </c>
      <c r="P1132" t="s">
        <v>22</v>
      </c>
      <c r="Q1132" s="2">
        <v>35061</v>
      </c>
    </row>
    <row r="1133" spans="1:17" x14ac:dyDescent="0.2">
      <c r="A1133" s="1">
        <v>42705</v>
      </c>
      <c r="B1133">
        <v>119098</v>
      </c>
      <c r="C1133" t="s">
        <v>80</v>
      </c>
      <c r="D1133" t="s">
        <v>38</v>
      </c>
      <c r="E1133" t="s">
        <v>61</v>
      </c>
      <c r="F1133" s="5">
        <v>39</v>
      </c>
      <c r="G1133" t="str">
        <f>IF(Data[[#This Row],[Age]]&lt;25,"Under 25",IF(Data[[#This Row],[Age]]&lt;35,"25–34",IF(Data[[#This Row],[Age]]&lt;45,"35–44",IF(Data[[#This Row],[Age]]&lt;55,"45–54","55+"))))</f>
        <v>35–44</v>
      </c>
      <c r="H1133" t="s">
        <v>46</v>
      </c>
      <c r="I1133" t="s">
        <v>18</v>
      </c>
      <c r="J1133" t="s">
        <v>35</v>
      </c>
      <c r="K1133" s="1">
        <v>39331</v>
      </c>
      <c r="M1133" s="1" t="str">
        <f>IF(ISBLANK(Data[[#This Row],[EndDate]]),"Active","InActive")</f>
        <v>Active</v>
      </c>
      <c r="N1133" t="s">
        <v>20</v>
      </c>
      <c r="O1133" t="s">
        <v>75</v>
      </c>
      <c r="P1133" t="s">
        <v>22</v>
      </c>
      <c r="Q1133" s="2">
        <v>32292</v>
      </c>
    </row>
    <row r="1134" spans="1:17" x14ac:dyDescent="0.2">
      <c r="A1134" s="1">
        <v>43070</v>
      </c>
      <c r="B1134">
        <v>18786</v>
      </c>
      <c r="C1134" t="s">
        <v>80</v>
      </c>
      <c r="D1134" t="s">
        <v>23</v>
      </c>
      <c r="E1134" t="s">
        <v>65</v>
      </c>
      <c r="F1134" s="5">
        <v>39</v>
      </c>
      <c r="G1134" t="str">
        <f>IF(Data[[#This Row],[Age]]&lt;25,"Under 25",IF(Data[[#This Row],[Age]]&lt;35,"25–34",IF(Data[[#This Row],[Age]]&lt;45,"35–44",IF(Data[[#This Row],[Age]]&lt;55,"45–54","55+"))))</f>
        <v>35–44</v>
      </c>
      <c r="H1134" t="s">
        <v>59</v>
      </c>
      <c r="I1134" t="s">
        <v>18</v>
      </c>
      <c r="J1134" t="s">
        <v>35</v>
      </c>
      <c r="K1134" s="1">
        <v>41563</v>
      </c>
      <c r="M1134" s="1" t="str">
        <f>IF(ISBLANK(Data[[#This Row],[EndDate]]),"Active","InActive")</f>
        <v>Active</v>
      </c>
      <c r="N1134" t="s">
        <v>20</v>
      </c>
      <c r="O1134" t="s">
        <v>75</v>
      </c>
      <c r="P1134" t="s">
        <v>32</v>
      </c>
      <c r="Q1134" s="2">
        <v>15639</v>
      </c>
    </row>
    <row r="1135" spans="1:17" x14ac:dyDescent="0.2">
      <c r="A1135" s="1">
        <v>43070</v>
      </c>
      <c r="B1135">
        <v>55722</v>
      </c>
      <c r="C1135" t="s">
        <v>80</v>
      </c>
      <c r="D1135" t="s">
        <v>41</v>
      </c>
      <c r="E1135" t="s">
        <v>62</v>
      </c>
      <c r="F1135" s="5">
        <v>39</v>
      </c>
      <c r="G1135" t="str">
        <f>IF(Data[[#This Row],[Age]]&lt;25,"Under 25",IF(Data[[#This Row],[Age]]&lt;35,"25–34",IF(Data[[#This Row],[Age]]&lt;45,"35–44",IF(Data[[#This Row],[Age]]&lt;55,"45–54","55+"))))</f>
        <v>35–44</v>
      </c>
      <c r="H1135" t="s">
        <v>59</v>
      </c>
      <c r="I1135" t="s">
        <v>18</v>
      </c>
      <c r="J1135" t="s">
        <v>35</v>
      </c>
      <c r="K1135" s="1">
        <v>40302</v>
      </c>
      <c r="M1135" s="1" t="str">
        <f>IF(ISBLANK(Data[[#This Row],[EndDate]]),"Active","InActive")</f>
        <v>Active</v>
      </c>
      <c r="N1135" t="s">
        <v>20</v>
      </c>
      <c r="O1135" t="s">
        <v>75</v>
      </c>
      <c r="P1135" t="s">
        <v>32</v>
      </c>
      <c r="Q1135" s="2">
        <v>32955</v>
      </c>
    </row>
    <row r="1136" spans="1:17" x14ac:dyDescent="0.2">
      <c r="A1136" s="1">
        <v>43070</v>
      </c>
      <c r="B1136">
        <v>55750</v>
      </c>
      <c r="C1136" t="s">
        <v>80</v>
      </c>
      <c r="D1136" t="s">
        <v>50</v>
      </c>
      <c r="E1136" t="s">
        <v>63</v>
      </c>
      <c r="F1136" s="5">
        <v>39</v>
      </c>
      <c r="G1136" t="str">
        <f>IF(Data[[#This Row],[Age]]&lt;25,"Under 25",IF(Data[[#This Row],[Age]]&lt;35,"25–34",IF(Data[[#This Row],[Age]]&lt;45,"35–44",IF(Data[[#This Row],[Age]]&lt;55,"45–54","55+"))))</f>
        <v>35–44</v>
      </c>
      <c r="H1136" t="s">
        <v>49</v>
      </c>
      <c r="I1136" t="s">
        <v>56</v>
      </c>
      <c r="J1136" t="s">
        <v>35</v>
      </c>
      <c r="K1136" s="1">
        <v>40779</v>
      </c>
      <c r="M1136" s="1" t="str">
        <f>IF(ISBLANK(Data[[#This Row],[EndDate]]),"Active","InActive")</f>
        <v>Active</v>
      </c>
      <c r="N1136" t="s">
        <v>57</v>
      </c>
      <c r="O1136" t="s">
        <v>75</v>
      </c>
      <c r="P1136" t="s">
        <v>32</v>
      </c>
      <c r="Q1136" s="2">
        <v>9867</v>
      </c>
    </row>
    <row r="1137" spans="1:17" x14ac:dyDescent="0.2">
      <c r="A1137" s="1">
        <v>43435</v>
      </c>
      <c r="B1137">
        <v>92310</v>
      </c>
      <c r="C1137" t="s">
        <v>80</v>
      </c>
      <c r="D1137" t="s">
        <v>43</v>
      </c>
      <c r="E1137" t="s">
        <v>66</v>
      </c>
      <c r="F1137" s="5">
        <v>39</v>
      </c>
      <c r="G1137" t="str">
        <f>IF(Data[[#This Row],[Age]]&lt;25,"Under 25",IF(Data[[#This Row],[Age]]&lt;35,"25–34",IF(Data[[#This Row],[Age]]&lt;45,"35–44",IF(Data[[#This Row],[Age]]&lt;55,"45–54","55+"))))</f>
        <v>35–44</v>
      </c>
      <c r="H1137" t="s">
        <v>46</v>
      </c>
      <c r="I1137" t="s">
        <v>56</v>
      </c>
      <c r="J1137" t="s">
        <v>19</v>
      </c>
      <c r="K1137" s="1">
        <v>39624</v>
      </c>
      <c r="M1137" s="1" t="str">
        <f>IF(ISBLANK(Data[[#This Row],[EndDate]]),"Active","InActive")</f>
        <v>Active</v>
      </c>
      <c r="N1137" t="s">
        <v>57</v>
      </c>
      <c r="O1137" t="s">
        <v>75</v>
      </c>
      <c r="P1137" t="s">
        <v>40</v>
      </c>
      <c r="Q1137" s="2">
        <v>28704</v>
      </c>
    </row>
    <row r="1138" spans="1:17" x14ac:dyDescent="0.2">
      <c r="A1138" s="1">
        <v>42705</v>
      </c>
      <c r="B1138">
        <v>97020</v>
      </c>
      <c r="C1138" t="s">
        <v>79</v>
      </c>
      <c r="D1138" t="s">
        <v>52</v>
      </c>
      <c r="E1138" t="s">
        <v>69</v>
      </c>
      <c r="F1138" s="5">
        <v>39</v>
      </c>
      <c r="G1138" t="str">
        <f>IF(Data[[#This Row],[Age]]&lt;25,"Under 25",IF(Data[[#This Row],[Age]]&lt;35,"25–34",IF(Data[[#This Row],[Age]]&lt;45,"35–44",IF(Data[[#This Row],[Age]]&lt;55,"45–54","55+"))))</f>
        <v>35–44</v>
      </c>
      <c r="H1138" t="s">
        <v>46</v>
      </c>
      <c r="I1138" t="s">
        <v>56</v>
      </c>
      <c r="J1138" t="s">
        <v>19</v>
      </c>
      <c r="K1138" s="1">
        <v>37428</v>
      </c>
      <c r="M1138" s="1" t="str">
        <f>IF(ISBLANK(Data[[#This Row],[EndDate]]),"Active","InActive")</f>
        <v>Active</v>
      </c>
      <c r="N1138" t="s">
        <v>57</v>
      </c>
      <c r="O1138" t="s">
        <v>75</v>
      </c>
      <c r="P1138" t="s">
        <v>22</v>
      </c>
      <c r="Q1138" s="2">
        <v>32058</v>
      </c>
    </row>
    <row r="1139" spans="1:17" x14ac:dyDescent="0.2">
      <c r="A1139" s="1">
        <v>43070</v>
      </c>
      <c r="B1139">
        <v>92336</v>
      </c>
      <c r="C1139" t="s">
        <v>79</v>
      </c>
      <c r="D1139" t="s">
        <v>27</v>
      </c>
      <c r="E1139" t="s">
        <v>72</v>
      </c>
      <c r="F1139" s="5">
        <v>39</v>
      </c>
      <c r="G1139" t="str">
        <f>IF(Data[[#This Row],[Age]]&lt;25,"Under 25",IF(Data[[#This Row],[Age]]&lt;35,"25–34",IF(Data[[#This Row],[Age]]&lt;45,"35–44",IF(Data[[#This Row],[Age]]&lt;55,"45–54","55+"))))</f>
        <v>35–44</v>
      </c>
      <c r="H1139" t="s">
        <v>34</v>
      </c>
      <c r="I1139" t="s">
        <v>56</v>
      </c>
      <c r="J1139" t="s">
        <v>19</v>
      </c>
      <c r="K1139" s="1">
        <v>39869</v>
      </c>
      <c r="M1139" s="1" t="str">
        <f>IF(ISBLANK(Data[[#This Row],[EndDate]]),"Active","InActive")</f>
        <v>Active</v>
      </c>
      <c r="N1139" t="s">
        <v>57</v>
      </c>
      <c r="O1139" t="s">
        <v>75</v>
      </c>
      <c r="P1139" t="s">
        <v>32</v>
      </c>
      <c r="Q1139" s="2">
        <v>16770</v>
      </c>
    </row>
    <row r="1140" spans="1:17" x14ac:dyDescent="0.2">
      <c r="A1140" s="1">
        <v>43435</v>
      </c>
      <c r="B1140">
        <v>92270</v>
      </c>
      <c r="C1140" t="s">
        <v>79</v>
      </c>
      <c r="D1140" t="s">
        <v>43</v>
      </c>
      <c r="E1140" t="s">
        <v>44</v>
      </c>
      <c r="F1140" s="5">
        <v>39</v>
      </c>
      <c r="G1140" t="str">
        <f>IF(Data[[#This Row],[Age]]&lt;25,"Under 25",IF(Data[[#This Row],[Age]]&lt;35,"25–34",IF(Data[[#This Row],[Age]]&lt;45,"35–44",IF(Data[[#This Row],[Age]]&lt;55,"45–54","55+"))))</f>
        <v>35–44</v>
      </c>
      <c r="H1140" t="s">
        <v>25</v>
      </c>
      <c r="I1140" t="s">
        <v>56</v>
      </c>
      <c r="J1140" t="s">
        <v>19</v>
      </c>
      <c r="K1140" s="1">
        <v>38804</v>
      </c>
      <c r="M1140" s="1" t="str">
        <f>IF(ISBLANK(Data[[#This Row],[EndDate]]),"Active","InActive")</f>
        <v>Active</v>
      </c>
      <c r="N1140" t="s">
        <v>57</v>
      </c>
      <c r="O1140" t="s">
        <v>75</v>
      </c>
      <c r="P1140" t="s">
        <v>40</v>
      </c>
      <c r="Q1140" s="2">
        <v>38103</v>
      </c>
    </row>
    <row r="1141" spans="1:17" x14ac:dyDescent="0.2">
      <c r="A1141" s="1">
        <v>43435</v>
      </c>
      <c r="B1141">
        <v>92440</v>
      </c>
      <c r="C1141" t="s">
        <v>79</v>
      </c>
      <c r="D1141" t="s">
        <v>38</v>
      </c>
      <c r="E1141" t="s">
        <v>39</v>
      </c>
      <c r="F1141" s="5">
        <v>39</v>
      </c>
      <c r="G1141" t="str">
        <f>IF(Data[[#This Row],[Age]]&lt;25,"Under 25",IF(Data[[#This Row],[Age]]&lt;35,"25–34",IF(Data[[#This Row],[Age]]&lt;45,"35–44",IF(Data[[#This Row],[Age]]&lt;55,"45–54","55+"))))</f>
        <v>35–44</v>
      </c>
      <c r="H1141" t="s">
        <v>46</v>
      </c>
      <c r="I1141" t="s">
        <v>56</v>
      </c>
      <c r="J1141" t="s">
        <v>19</v>
      </c>
      <c r="K1141" s="1">
        <v>40946</v>
      </c>
      <c r="M1141" s="1" t="str">
        <f>IF(ISBLANK(Data[[#This Row],[EndDate]]),"Active","InActive")</f>
        <v>Active</v>
      </c>
      <c r="N1141" t="s">
        <v>57</v>
      </c>
      <c r="O1141" t="s">
        <v>75</v>
      </c>
      <c r="P1141" t="s">
        <v>40</v>
      </c>
      <c r="Q1141" s="2">
        <v>4992</v>
      </c>
    </row>
    <row r="1142" spans="1:17" x14ac:dyDescent="0.2">
      <c r="A1142" s="1">
        <v>42705</v>
      </c>
      <c r="B1142">
        <v>53652</v>
      </c>
      <c r="C1142" t="s">
        <v>80</v>
      </c>
      <c r="D1142" t="s">
        <v>41</v>
      </c>
      <c r="E1142" t="s">
        <v>62</v>
      </c>
      <c r="F1142" s="5">
        <v>40</v>
      </c>
      <c r="G1142" t="str">
        <f>IF(Data[[#This Row],[Age]]&lt;25,"Under 25",IF(Data[[#This Row],[Age]]&lt;35,"25–34",IF(Data[[#This Row],[Age]]&lt;45,"35–44",IF(Data[[#This Row],[Age]]&lt;55,"45–54","55+"))))</f>
        <v>35–44</v>
      </c>
      <c r="H1142" t="s">
        <v>49</v>
      </c>
      <c r="I1142" t="s">
        <v>56</v>
      </c>
      <c r="J1142" t="s">
        <v>35</v>
      </c>
      <c r="K1142" s="1">
        <v>33228</v>
      </c>
      <c r="M1142" s="1" t="str">
        <f>IF(ISBLANK(Data[[#This Row],[EndDate]]),"Active","InActive")</f>
        <v>Active</v>
      </c>
      <c r="N1142" t="s">
        <v>57</v>
      </c>
      <c r="O1142" t="s">
        <v>75</v>
      </c>
      <c r="P1142" t="s">
        <v>22</v>
      </c>
      <c r="Q1142" s="2">
        <v>34440</v>
      </c>
    </row>
    <row r="1143" spans="1:17" x14ac:dyDescent="0.2">
      <c r="A1143" s="1">
        <v>43070</v>
      </c>
      <c r="B1143">
        <v>53292</v>
      </c>
      <c r="C1143" t="s">
        <v>79</v>
      </c>
      <c r="D1143" t="s">
        <v>15</v>
      </c>
      <c r="E1143" t="s">
        <v>16</v>
      </c>
      <c r="F1143" s="5">
        <v>40</v>
      </c>
      <c r="G1143" t="str">
        <f>IF(Data[[#This Row],[Age]]&lt;25,"Under 25",IF(Data[[#This Row],[Age]]&lt;35,"25–34",IF(Data[[#This Row],[Age]]&lt;45,"35–44",IF(Data[[#This Row],[Age]]&lt;55,"45–54","55+"))))</f>
        <v>35–44</v>
      </c>
      <c r="H1143" t="s">
        <v>34</v>
      </c>
      <c r="I1143" t="s">
        <v>56</v>
      </c>
      <c r="J1143" t="s">
        <v>35</v>
      </c>
      <c r="K1143" s="1">
        <v>34124</v>
      </c>
      <c r="M1143" s="1" t="str">
        <f>IF(ISBLANK(Data[[#This Row],[EndDate]]),"Active","InActive")</f>
        <v>Active</v>
      </c>
      <c r="N1143" t="s">
        <v>57</v>
      </c>
      <c r="O1143" t="s">
        <v>75</v>
      </c>
      <c r="P1143" t="s">
        <v>32</v>
      </c>
      <c r="Q1143" s="2">
        <v>23720</v>
      </c>
    </row>
    <row r="1144" spans="1:17" x14ac:dyDescent="0.2">
      <c r="A1144" s="1">
        <v>43070</v>
      </c>
      <c r="B1144">
        <v>4154</v>
      </c>
      <c r="C1144" t="s">
        <v>80</v>
      </c>
      <c r="D1144" t="s">
        <v>43</v>
      </c>
      <c r="E1144" t="s">
        <v>44</v>
      </c>
      <c r="F1144" s="5">
        <v>40</v>
      </c>
      <c r="G1144" t="str">
        <f>IF(Data[[#This Row],[Age]]&lt;25,"Under 25",IF(Data[[#This Row],[Age]]&lt;35,"25–34",IF(Data[[#This Row],[Age]]&lt;45,"35–44",IF(Data[[#This Row],[Age]]&lt;55,"45–54","55+"))))</f>
        <v>35–44</v>
      </c>
      <c r="H1144" t="s">
        <v>31</v>
      </c>
      <c r="I1144" t="s">
        <v>18</v>
      </c>
      <c r="J1144" t="s">
        <v>35</v>
      </c>
      <c r="K1144" s="1">
        <v>41493</v>
      </c>
      <c r="M1144" s="1" t="str">
        <f>IF(ISBLANK(Data[[#This Row],[EndDate]]),"Active","InActive")</f>
        <v>Active</v>
      </c>
      <c r="N1144" t="s">
        <v>20</v>
      </c>
      <c r="O1144" t="s">
        <v>75</v>
      </c>
      <c r="P1144" t="s">
        <v>32</v>
      </c>
      <c r="Q1144" s="2">
        <v>26480</v>
      </c>
    </row>
    <row r="1145" spans="1:17" x14ac:dyDescent="0.2">
      <c r="A1145" s="1">
        <v>43435</v>
      </c>
      <c r="B1145">
        <v>41390</v>
      </c>
      <c r="C1145" t="s">
        <v>80</v>
      </c>
      <c r="D1145" t="s">
        <v>43</v>
      </c>
      <c r="E1145" t="s">
        <v>60</v>
      </c>
      <c r="F1145" s="5">
        <v>40</v>
      </c>
      <c r="G1145" t="str">
        <f>IF(Data[[#This Row],[Age]]&lt;25,"Under 25",IF(Data[[#This Row],[Age]]&lt;35,"25–34",IF(Data[[#This Row],[Age]]&lt;45,"35–44",IF(Data[[#This Row],[Age]]&lt;55,"45–54","55+"))))</f>
        <v>35–44</v>
      </c>
      <c r="H1145" t="s">
        <v>46</v>
      </c>
      <c r="I1145" t="s">
        <v>18</v>
      </c>
      <c r="J1145" t="s">
        <v>35</v>
      </c>
      <c r="K1145" s="1">
        <v>41867</v>
      </c>
      <c r="M1145" s="1" t="str">
        <f>IF(ISBLANK(Data[[#This Row],[EndDate]]),"Active","InActive")</f>
        <v>Active</v>
      </c>
      <c r="N1145" t="s">
        <v>20</v>
      </c>
      <c r="O1145" t="s">
        <v>75</v>
      </c>
      <c r="P1145" t="s">
        <v>40</v>
      </c>
      <c r="Q1145" s="2">
        <v>12160</v>
      </c>
    </row>
    <row r="1146" spans="1:17" x14ac:dyDescent="0.2">
      <c r="A1146" s="1">
        <v>43435</v>
      </c>
      <c r="B1146">
        <v>42494</v>
      </c>
      <c r="C1146" t="s">
        <v>80</v>
      </c>
      <c r="D1146" t="s">
        <v>41</v>
      </c>
      <c r="E1146" t="s">
        <v>62</v>
      </c>
      <c r="F1146" s="5">
        <v>40</v>
      </c>
      <c r="G1146" t="str">
        <f>IF(Data[[#This Row],[Age]]&lt;25,"Under 25",IF(Data[[#This Row],[Age]]&lt;35,"25–34",IF(Data[[#This Row],[Age]]&lt;45,"35–44",IF(Data[[#This Row],[Age]]&lt;55,"45–54","55+"))))</f>
        <v>35–44</v>
      </c>
      <c r="H1146" t="s">
        <v>25</v>
      </c>
      <c r="I1146" t="s">
        <v>18</v>
      </c>
      <c r="J1146" t="s">
        <v>35</v>
      </c>
      <c r="K1146" s="1">
        <v>41788</v>
      </c>
      <c r="M1146" s="1" t="str">
        <f>IF(ISBLANK(Data[[#This Row],[EndDate]]),"Active","InActive")</f>
        <v>Active</v>
      </c>
      <c r="N1146" t="s">
        <v>20</v>
      </c>
      <c r="O1146" t="s">
        <v>75</v>
      </c>
      <c r="P1146" t="s">
        <v>40</v>
      </c>
      <c r="Q1146" s="2">
        <v>39320</v>
      </c>
    </row>
    <row r="1147" spans="1:17" x14ac:dyDescent="0.2">
      <c r="A1147" s="1">
        <v>43435</v>
      </c>
      <c r="B1147">
        <v>49296</v>
      </c>
      <c r="C1147" t="s">
        <v>80</v>
      </c>
      <c r="D1147" t="s">
        <v>27</v>
      </c>
      <c r="E1147" t="s">
        <v>74</v>
      </c>
      <c r="F1147" s="5">
        <v>40</v>
      </c>
      <c r="G1147" t="str">
        <f>IF(Data[[#This Row],[Age]]&lt;25,"Under 25",IF(Data[[#This Row],[Age]]&lt;35,"25–34",IF(Data[[#This Row],[Age]]&lt;45,"35–44",IF(Data[[#This Row],[Age]]&lt;55,"45–54","55+"))))</f>
        <v>35–44</v>
      </c>
      <c r="H1147" t="s">
        <v>25</v>
      </c>
      <c r="I1147" t="s">
        <v>18</v>
      </c>
      <c r="J1147" t="s">
        <v>37</v>
      </c>
      <c r="K1147" s="1">
        <v>40883</v>
      </c>
      <c r="M1147" s="1" t="str">
        <f>IF(ISBLANK(Data[[#This Row],[EndDate]]),"Active","InActive")</f>
        <v>Active</v>
      </c>
      <c r="N1147" t="s">
        <v>20</v>
      </c>
      <c r="O1147" t="s">
        <v>75</v>
      </c>
      <c r="P1147" t="s">
        <v>40</v>
      </c>
      <c r="Q1147" s="2">
        <v>13480</v>
      </c>
    </row>
    <row r="1148" spans="1:17" x14ac:dyDescent="0.2">
      <c r="A1148" s="1">
        <v>43435</v>
      </c>
      <c r="B1148">
        <v>56424</v>
      </c>
      <c r="C1148" t="s">
        <v>80</v>
      </c>
      <c r="D1148" t="s">
        <v>29</v>
      </c>
      <c r="E1148" t="s">
        <v>33</v>
      </c>
      <c r="F1148" s="5">
        <v>40</v>
      </c>
      <c r="G1148" t="str">
        <f>IF(Data[[#This Row],[Age]]&lt;25,"Under 25",IF(Data[[#This Row],[Age]]&lt;35,"25–34",IF(Data[[#This Row],[Age]]&lt;45,"35–44",IF(Data[[#This Row],[Age]]&lt;55,"45–54","55+"))))</f>
        <v>35–44</v>
      </c>
      <c r="H1148" t="s">
        <v>31</v>
      </c>
      <c r="I1148" t="s">
        <v>18</v>
      </c>
      <c r="J1148" t="s">
        <v>37</v>
      </c>
      <c r="K1148" s="1">
        <v>41584</v>
      </c>
      <c r="M1148" s="1" t="str">
        <f>IF(ISBLANK(Data[[#This Row],[EndDate]]),"Active","InActive")</f>
        <v>Active</v>
      </c>
      <c r="N1148" t="s">
        <v>20</v>
      </c>
      <c r="O1148" t="s">
        <v>75</v>
      </c>
      <c r="P1148" t="s">
        <v>40</v>
      </c>
      <c r="Q1148" s="2">
        <v>20400</v>
      </c>
    </row>
    <row r="1149" spans="1:17" x14ac:dyDescent="0.2">
      <c r="A1149" s="1">
        <v>43070</v>
      </c>
      <c r="B1149">
        <v>24608</v>
      </c>
      <c r="C1149" t="s">
        <v>80</v>
      </c>
      <c r="D1149" t="s">
        <v>23</v>
      </c>
      <c r="E1149" t="s">
        <v>71</v>
      </c>
      <c r="F1149" s="5">
        <v>40</v>
      </c>
      <c r="G1149" t="str">
        <f>IF(Data[[#This Row],[Age]]&lt;25,"Under 25",IF(Data[[#This Row],[Age]]&lt;35,"25–34",IF(Data[[#This Row],[Age]]&lt;45,"35–44",IF(Data[[#This Row],[Age]]&lt;55,"45–54","55+"))))</f>
        <v>35–44</v>
      </c>
      <c r="H1149" t="s">
        <v>17</v>
      </c>
      <c r="I1149" t="s">
        <v>18</v>
      </c>
      <c r="J1149" t="s">
        <v>37</v>
      </c>
      <c r="K1149" s="1">
        <v>41596</v>
      </c>
      <c r="M1149" s="1" t="str">
        <f>IF(ISBLANK(Data[[#This Row],[EndDate]]),"Active","InActive")</f>
        <v>Active</v>
      </c>
      <c r="N1149" t="s">
        <v>20</v>
      </c>
      <c r="O1149" t="s">
        <v>75</v>
      </c>
      <c r="P1149" t="s">
        <v>32</v>
      </c>
      <c r="Q1149" s="2">
        <v>28440</v>
      </c>
    </row>
    <row r="1150" spans="1:17" x14ac:dyDescent="0.2">
      <c r="A1150" s="1">
        <v>42705</v>
      </c>
      <c r="B1150">
        <v>52576</v>
      </c>
      <c r="C1150" t="s">
        <v>80</v>
      </c>
      <c r="D1150" t="s">
        <v>41</v>
      </c>
      <c r="E1150" t="s">
        <v>62</v>
      </c>
      <c r="F1150" s="5">
        <v>40</v>
      </c>
      <c r="G1150" t="str">
        <f>IF(Data[[#This Row],[Age]]&lt;25,"Under 25",IF(Data[[#This Row],[Age]]&lt;35,"25–34",IF(Data[[#This Row],[Age]]&lt;45,"35–44",IF(Data[[#This Row],[Age]]&lt;55,"45–54","55+"))))</f>
        <v>35–44</v>
      </c>
      <c r="H1150" t="s">
        <v>59</v>
      </c>
      <c r="I1150" t="s">
        <v>18</v>
      </c>
      <c r="J1150" t="s">
        <v>35</v>
      </c>
      <c r="K1150" s="1">
        <v>41201</v>
      </c>
      <c r="M1150" s="1" t="str">
        <f>IF(ISBLANK(Data[[#This Row],[EndDate]]),"Active","InActive")</f>
        <v>Active</v>
      </c>
      <c r="N1150" t="s">
        <v>20</v>
      </c>
      <c r="O1150" t="s">
        <v>75</v>
      </c>
      <c r="P1150" t="s">
        <v>22</v>
      </c>
      <c r="Q1150" s="2">
        <v>22400</v>
      </c>
    </row>
    <row r="1151" spans="1:17" x14ac:dyDescent="0.2">
      <c r="A1151" s="1">
        <v>42705</v>
      </c>
      <c r="B1151">
        <v>52682</v>
      </c>
      <c r="C1151" t="s">
        <v>80</v>
      </c>
      <c r="D1151" t="s">
        <v>43</v>
      </c>
      <c r="E1151" t="s">
        <v>44</v>
      </c>
      <c r="F1151" s="5">
        <v>40</v>
      </c>
      <c r="G1151" t="str">
        <f>IF(Data[[#This Row],[Age]]&lt;25,"Under 25",IF(Data[[#This Row],[Age]]&lt;35,"25–34",IF(Data[[#This Row],[Age]]&lt;45,"35–44",IF(Data[[#This Row],[Age]]&lt;55,"45–54","55+"))))</f>
        <v>35–44</v>
      </c>
      <c r="H1151" t="s">
        <v>17</v>
      </c>
      <c r="I1151" t="s">
        <v>18</v>
      </c>
      <c r="J1151" t="s">
        <v>35</v>
      </c>
      <c r="K1151" s="1">
        <v>37350</v>
      </c>
      <c r="M1151" s="1" t="str">
        <f>IF(ISBLANK(Data[[#This Row],[EndDate]]),"Active","InActive")</f>
        <v>Active</v>
      </c>
      <c r="N1151" t="s">
        <v>20</v>
      </c>
      <c r="O1151" t="s">
        <v>75</v>
      </c>
      <c r="P1151" t="s">
        <v>22</v>
      </c>
      <c r="Q1151" s="2">
        <v>18760</v>
      </c>
    </row>
    <row r="1152" spans="1:17" x14ac:dyDescent="0.2">
      <c r="A1152" s="1">
        <v>42705</v>
      </c>
      <c r="B1152">
        <v>55726</v>
      </c>
      <c r="C1152" t="s">
        <v>80</v>
      </c>
      <c r="D1152" t="s">
        <v>38</v>
      </c>
      <c r="E1152" t="s">
        <v>39</v>
      </c>
      <c r="F1152" s="5">
        <v>40</v>
      </c>
      <c r="G1152" t="str">
        <f>IF(Data[[#This Row],[Age]]&lt;25,"Under 25",IF(Data[[#This Row],[Age]]&lt;35,"25–34",IF(Data[[#This Row],[Age]]&lt;45,"35–44",IF(Data[[#This Row],[Age]]&lt;55,"45–54","55+"))))</f>
        <v>35–44</v>
      </c>
      <c r="H1152" t="s">
        <v>34</v>
      </c>
      <c r="I1152" t="s">
        <v>56</v>
      </c>
      <c r="J1152" t="s">
        <v>35</v>
      </c>
      <c r="K1152" s="1">
        <v>39744</v>
      </c>
      <c r="M1152" s="1" t="str">
        <f>IF(ISBLANK(Data[[#This Row],[EndDate]]),"Active","InActive")</f>
        <v>Active</v>
      </c>
      <c r="N1152" t="s">
        <v>57</v>
      </c>
      <c r="O1152" t="s">
        <v>75</v>
      </c>
      <c r="P1152" t="s">
        <v>22</v>
      </c>
      <c r="Q1152" s="2">
        <v>20480</v>
      </c>
    </row>
    <row r="1153" spans="1:17" x14ac:dyDescent="0.2">
      <c r="A1153" s="1">
        <v>42705</v>
      </c>
      <c r="B1153">
        <v>113294</v>
      </c>
      <c r="C1153" t="s">
        <v>80</v>
      </c>
      <c r="D1153" t="s">
        <v>27</v>
      </c>
      <c r="E1153" t="s">
        <v>72</v>
      </c>
      <c r="F1153" s="5">
        <v>40</v>
      </c>
      <c r="G1153" t="str">
        <f>IF(Data[[#This Row],[Age]]&lt;25,"Under 25",IF(Data[[#This Row],[Age]]&lt;35,"25–34",IF(Data[[#This Row],[Age]]&lt;45,"35–44",IF(Data[[#This Row],[Age]]&lt;55,"45–54","55+"))))</f>
        <v>35–44</v>
      </c>
      <c r="H1153" t="s">
        <v>49</v>
      </c>
      <c r="I1153" t="s">
        <v>56</v>
      </c>
      <c r="J1153" t="s">
        <v>35</v>
      </c>
      <c r="K1153" s="1">
        <v>36868</v>
      </c>
      <c r="M1153" s="1" t="str">
        <f>IF(ISBLANK(Data[[#This Row],[EndDate]]),"Active","InActive")</f>
        <v>Active</v>
      </c>
      <c r="N1153" t="s">
        <v>57</v>
      </c>
      <c r="O1153" t="s">
        <v>75</v>
      </c>
      <c r="P1153" t="s">
        <v>22</v>
      </c>
      <c r="Q1153" s="2">
        <v>12520</v>
      </c>
    </row>
    <row r="1154" spans="1:17" x14ac:dyDescent="0.2">
      <c r="A1154" s="1">
        <v>43070</v>
      </c>
      <c r="B1154">
        <v>49216</v>
      </c>
      <c r="C1154" t="s">
        <v>79</v>
      </c>
      <c r="D1154" t="s">
        <v>38</v>
      </c>
      <c r="E1154" t="s">
        <v>45</v>
      </c>
      <c r="F1154" s="5">
        <v>40</v>
      </c>
      <c r="G1154" t="str">
        <f>IF(Data[[#This Row],[Age]]&lt;25,"Under 25",IF(Data[[#This Row],[Age]]&lt;35,"25–34",IF(Data[[#This Row],[Age]]&lt;45,"35–44",IF(Data[[#This Row],[Age]]&lt;55,"45–54","55+"))))</f>
        <v>35–44</v>
      </c>
      <c r="H1154" t="s">
        <v>31</v>
      </c>
      <c r="I1154" t="s">
        <v>56</v>
      </c>
      <c r="J1154" t="s">
        <v>35</v>
      </c>
      <c r="K1154" s="1">
        <v>41409</v>
      </c>
      <c r="M1154" s="1" t="str">
        <f>IF(ISBLANK(Data[[#This Row],[EndDate]]),"Active","InActive")</f>
        <v>Active</v>
      </c>
      <c r="N1154" t="s">
        <v>57</v>
      </c>
      <c r="O1154" t="s">
        <v>75</v>
      </c>
      <c r="P1154" t="s">
        <v>32</v>
      </c>
      <c r="Q1154" s="2">
        <v>31080</v>
      </c>
    </row>
    <row r="1155" spans="1:17" x14ac:dyDescent="0.2">
      <c r="A1155" s="1">
        <v>43070</v>
      </c>
      <c r="B1155">
        <v>51622</v>
      </c>
      <c r="C1155" t="s">
        <v>79</v>
      </c>
      <c r="D1155" t="s">
        <v>23</v>
      </c>
      <c r="E1155" t="s">
        <v>65</v>
      </c>
      <c r="F1155" s="5">
        <v>40</v>
      </c>
      <c r="G1155" t="str">
        <f>IF(Data[[#This Row],[Age]]&lt;25,"Under 25",IF(Data[[#This Row],[Age]]&lt;35,"25–34",IF(Data[[#This Row],[Age]]&lt;45,"35–44",IF(Data[[#This Row],[Age]]&lt;55,"45–54","55+"))))</f>
        <v>35–44</v>
      </c>
      <c r="H1155" t="s">
        <v>31</v>
      </c>
      <c r="I1155" t="s">
        <v>56</v>
      </c>
      <c r="J1155" t="s">
        <v>35</v>
      </c>
      <c r="K1155" s="1">
        <v>35969</v>
      </c>
      <c r="M1155" s="1" t="str">
        <f>IF(ISBLANK(Data[[#This Row],[EndDate]]),"Active","InActive")</f>
        <v>Active</v>
      </c>
      <c r="N1155" t="s">
        <v>57</v>
      </c>
      <c r="O1155" t="s">
        <v>75</v>
      </c>
      <c r="P1155" t="s">
        <v>32</v>
      </c>
      <c r="Q1155" s="2">
        <v>4840</v>
      </c>
    </row>
    <row r="1156" spans="1:17" x14ac:dyDescent="0.2">
      <c r="A1156" s="1">
        <v>43070</v>
      </c>
      <c r="B1156">
        <v>53752</v>
      </c>
      <c r="C1156" t="s">
        <v>80</v>
      </c>
      <c r="D1156" t="s">
        <v>29</v>
      </c>
      <c r="E1156" t="s">
        <v>33</v>
      </c>
      <c r="F1156" s="5">
        <v>40</v>
      </c>
      <c r="G1156" t="str">
        <f>IF(Data[[#This Row],[Age]]&lt;25,"Under 25",IF(Data[[#This Row],[Age]]&lt;35,"25–34",IF(Data[[#This Row],[Age]]&lt;45,"35–44",IF(Data[[#This Row],[Age]]&lt;55,"45–54","55+"))))</f>
        <v>35–44</v>
      </c>
      <c r="H1156" t="s">
        <v>49</v>
      </c>
      <c r="I1156" t="s">
        <v>18</v>
      </c>
      <c r="J1156" t="s">
        <v>35</v>
      </c>
      <c r="K1156" s="1">
        <v>39406</v>
      </c>
      <c r="M1156" s="1" t="str">
        <f>IF(ISBLANK(Data[[#This Row],[EndDate]]),"Active","InActive")</f>
        <v>Active</v>
      </c>
      <c r="N1156" t="s">
        <v>20</v>
      </c>
      <c r="O1156" t="s">
        <v>75</v>
      </c>
      <c r="P1156" t="s">
        <v>32</v>
      </c>
      <c r="Q1156" s="2">
        <v>4200</v>
      </c>
    </row>
    <row r="1157" spans="1:17" x14ac:dyDescent="0.2">
      <c r="A1157" s="1">
        <v>43435</v>
      </c>
      <c r="B1157">
        <v>55722</v>
      </c>
      <c r="C1157" t="s">
        <v>80</v>
      </c>
      <c r="D1157" t="s">
        <v>41</v>
      </c>
      <c r="E1157" t="s">
        <v>62</v>
      </c>
      <c r="F1157" s="5">
        <v>40</v>
      </c>
      <c r="G1157" t="str">
        <f>IF(Data[[#This Row],[Age]]&lt;25,"Under 25",IF(Data[[#This Row],[Age]]&lt;35,"25–34",IF(Data[[#This Row],[Age]]&lt;45,"35–44",IF(Data[[#This Row],[Age]]&lt;55,"45–54","55+"))))</f>
        <v>35–44</v>
      </c>
      <c r="H1157" t="s">
        <v>59</v>
      </c>
      <c r="I1157" t="s">
        <v>18</v>
      </c>
      <c r="J1157" t="s">
        <v>35</v>
      </c>
      <c r="K1157" s="1">
        <v>40302</v>
      </c>
      <c r="M1157" s="1" t="str">
        <f>IF(ISBLANK(Data[[#This Row],[EndDate]]),"Active","InActive")</f>
        <v>Active</v>
      </c>
      <c r="N1157" t="s">
        <v>20</v>
      </c>
      <c r="O1157" t="s">
        <v>75</v>
      </c>
      <c r="P1157" t="s">
        <v>40</v>
      </c>
      <c r="Q1157" s="2">
        <v>31280</v>
      </c>
    </row>
    <row r="1158" spans="1:17" x14ac:dyDescent="0.2">
      <c r="A1158" s="1">
        <v>43435</v>
      </c>
      <c r="B1158">
        <v>55750</v>
      </c>
      <c r="C1158" t="s">
        <v>80</v>
      </c>
      <c r="D1158" t="s">
        <v>50</v>
      </c>
      <c r="E1158" t="s">
        <v>63</v>
      </c>
      <c r="F1158" s="5">
        <v>40</v>
      </c>
      <c r="G1158" t="str">
        <f>IF(Data[[#This Row],[Age]]&lt;25,"Under 25",IF(Data[[#This Row],[Age]]&lt;35,"25–34",IF(Data[[#This Row],[Age]]&lt;45,"35–44",IF(Data[[#This Row],[Age]]&lt;55,"45–54","55+"))))</f>
        <v>35–44</v>
      </c>
      <c r="H1158" t="s">
        <v>49</v>
      </c>
      <c r="I1158" t="s">
        <v>56</v>
      </c>
      <c r="J1158" t="s">
        <v>35</v>
      </c>
      <c r="K1158" s="1">
        <v>40779</v>
      </c>
      <c r="M1158" s="1" t="str">
        <f>IF(ISBLANK(Data[[#This Row],[EndDate]]),"Active","InActive")</f>
        <v>Active</v>
      </c>
      <c r="N1158" t="s">
        <v>57</v>
      </c>
      <c r="O1158" t="s">
        <v>75</v>
      </c>
      <c r="P1158" t="s">
        <v>40</v>
      </c>
      <c r="Q1158" s="2">
        <v>16040</v>
      </c>
    </row>
    <row r="1159" spans="1:17" x14ac:dyDescent="0.2">
      <c r="A1159" s="1">
        <v>42705</v>
      </c>
      <c r="B1159">
        <v>95782</v>
      </c>
      <c r="C1159" t="s">
        <v>79</v>
      </c>
      <c r="D1159" t="s">
        <v>43</v>
      </c>
      <c r="E1159" t="s">
        <v>60</v>
      </c>
      <c r="F1159" s="5">
        <v>40</v>
      </c>
      <c r="G1159" t="str">
        <f>IF(Data[[#This Row],[Age]]&lt;25,"Under 25",IF(Data[[#This Row],[Age]]&lt;35,"25–34",IF(Data[[#This Row],[Age]]&lt;45,"35–44",IF(Data[[#This Row],[Age]]&lt;55,"45–54","55+"))))</f>
        <v>35–44</v>
      </c>
      <c r="H1159" t="s">
        <v>34</v>
      </c>
      <c r="I1159" t="s">
        <v>56</v>
      </c>
      <c r="J1159" t="s">
        <v>19</v>
      </c>
      <c r="K1159" s="1">
        <v>39708</v>
      </c>
      <c r="M1159" s="1" t="str">
        <f>IF(ISBLANK(Data[[#This Row],[EndDate]]),"Active","InActive")</f>
        <v>Active</v>
      </c>
      <c r="N1159" t="s">
        <v>57</v>
      </c>
      <c r="O1159" t="s">
        <v>75</v>
      </c>
      <c r="P1159" t="s">
        <v>22</v>
      </c>
      <c r="Q1159" s="2">
        <v>5000</v>
      </c>
    </row>
    <row r="1160" spans="1:17" x14ac:dyDescent="0.2">
      <c r="A1160" s="1">
        <v>43070</v>
      </c>
      <c r="B1160">
        <v>97020</v>
      </c>
      <c r="C1160" t="s">
        <v>79</v>
      </c>
      <c r="D1160" t="s">
        <v>52</v>
      </c>
      <c r="E1160" t="s">
        <v>69</v>
      </c>
      <c r="F1160" s="5">
        <v>40</v>
      </c>
      <c r="G1160" t="str">
        <f>IF(Data[[#This Row],[Age]]&lt;25,"Under 25",IF(Data[[#This Row],[Age]]&lt;35,"25–34",IF(Data[[#This Row],[Age]]&lt;45,"35–44",IF(Data[[#This Row],[Age]]&lt;55,"45–54","55+"))))</f>
        <v>35–44</v>
      </c>
      <c r="H1160" t="s">
        <v>46</v>
      </c>
      <c r="I1160" t="s">
        <v>56</v>
      </c>
      <c r="J1160" t="s">
        <v>19</v>
      </c>
      <c r="K1160" s="1">
        <v>37428</v>
      </c>
      <c r="M1160" s="1" t="str">
        <f>IF(ISBLANK(Data[[#This Row],[EndDate]]),"Active","InActive")</f>
        <v>Active</v>
      </c>
      <c r="N1160" t="s">
        <v>57</v>
      </c>
      <c r="O1160" t="s">
        <v>75</v>
      </c>
      <c r="P1160" t="s">
        <v>32</v>
      </c>
      <c r="Q1160" s="2">
        <v>14120</v>
      </c>
    </row>
    <row r="1161" spans="1:17" x14ac:dyDescent="0.2">
      <c r="A1161" s="1">
        <v>43435</v>
      </c>
      <c r="B1161">
        <v>92170</v>
      </c>
      <c r="C1161" t="s">
        <v>79</v>
      </c>
      <c r="D1161" t="s">
        <v>15</v>
      </c>
      <c r="E1161" t="s">
        <v>70</v>
      </c>
      <c r="F1161" s="5">
        <v>40</v>
      </c>
      <c r="G1161" t="str">
        <f>IF(Data[[#This Row],[Age]]&lt;25,"Under 25",IF(Data[[#This Row],[Age]]&lt;35,"25–34",IF(Data[[#This Row],[Age]]&lt;45,"35–44",IF(Data[[#This Row],[Age]]&lt;55,"45–54","55+"))))</f>
        <v>35–44</v>
      </c>
      <c r="H1161" t="s">
        <v>17</v>
      </c>
      <c r="I1161" t="s">
        <v>56</v>
      </c>
      <c r="J1161" t="s">
        <v>19</v>
      </c>
      <c r="K1161" s="1">
        <v>41900</v>
      </c>
      <c r="M1161" s="1" t="str">
        <f>IF(ISBLANK(Data[[#This Row],[EndDate]]),"Active","InActive")</f>
        <v>Active</v>
      </c>
      <c r="N1161" t="s">
        <v>57</v>
      </c>
      <c r="O1161" t="s">
        <v>75</v>
      </c>
      <c r="P1161" t="s">
        <v>40</v>
      </c>
      <c r="Q1161" s="2">
        <v>30360</v>
      </c>
    </row>
    <row r="1162" spans="1:17" x14ac:dyDescent="0.2">
      <c r="A1162" s="1">
        <v>43435</v>
      </c>
      <c r="B1162">
        <v>92336</v>
      </c>
      <c r="C1162" t="s">
        <v>79</v>
      </c>
      <c r="D1162" t="s">
        <v>27</v>
      </c>
      <c r="E1162" t="s">
        <v>72</v>
      </c>
      <c r="F1162" s="5">
        <v>40</v>
      </c>
      <c r="G1162" t="str">
        <f>IF(Data[[#This Row],[Age]]&lt;25,"Under 25",IF(Data[[#This Row],[Age]]&lt;35,"25–34",IF(Data[[#This Row],[Age]]&lt;45,"35–44",IF(Data[[#This Row],[Age]]&lt;55,"45–54","55+"))))</f>
        <v>35–44</v>
      </c>
      <c r="H1162" t="s">
        <v>34</v>
      </c>
      <c r="I1162" t="s">
        <v>56</v>
      </c>
      <c r="J1162" t="s">
        <v>19</v>
      </c>
      <c r="K1162" s="1">
        <v>39869</v>
      </c>
      <c r="M1162" s="1" t="str">
        <f>IF(ISBLANK(Data[[#This Row],[EndDate]]),"Active","InActive")</f>
        <v>Active</v>
      </c>
      <c r="N1162" t="s">
        <v>57</v>
      </c>
      <c r="O1162" t="s">
        <v>75</v>
      </c>
      <c r="P1162" t="s">
        <v>40</v>
      </c>
      <c r="Q1162" s="2">
        <v>9080</v>
      </c>
    </row>
    <row r="1163" spans="1:17" x14ac:dyDescent="0.2">
      <c r="A1163" s="1">
        <v>42705</v>
      </c>
      <c r="B1163">
        <v>100388</v>
      </c>
      <c r="C1163" t="s">
        <v>79</v>
      </c>
      <c r="D1163" t="s">
        <v>27</v>
      </c>
      <c r="E1163" t="s">
        <v>72</v>
      </c>
      <c r="F1163" s="5">
        <v>40</v>
      </c>
      <c r="G1163" t="str">
        <f>IF(Data[[#This Row],[Age]]&lt;25,"Under 25",IF(Data[[#This Row],[Age]]&lt;35,"25–34",IF(Data[[#This Row],[Age]]&lt;45,"35–44",IF(Data[[#This Row],[Age]]&lt;55,"45–54","55+"))))</f>
        <v>35–44</v>
      </c>
      <c r="H1163" t="s">
        <v>46</v>
      </c>
      <c r="I1163" t="s">
        <v>18</v>
      </c>
      <c r="J1163" t="s">
        <v>35</v>
      </c>
      <c r="K1163" s="1">
        <v>41242</v>
      </c>
      <c r="M1163" s="1" t="str">
        <f>IF(ISBLANK(Data[[#This Row],[EndDate]]),"Active","InActive")</f>
        <v>Active</v>
      </c>
      <c r="N1163" t="s">
        <v>20</v>
      </c>
      <c r="O1163" t="s">
        <v>75</v>
      </c>
      <c r="P1163" t="s">
        <v>22</v>
      </c>
      <c r="Q1163" s="2">
        <v>10320</v>
      </c>
    </row>
    <row r="1164" spans="1:17" x14ac:dyDescent="0.2">
      <c r="A1164" s="1">
        <v>42705</v>
      </c>
      <c r="B1164">
        <v>101050</v>
      </c>
      <c r="C1164" t="s">
        <v>79</v>
      </c>
      <c r="D1164" t="s">
        <v>27</v>
      </c>
      <c r="E1164" t="s">
        <v>72</v>
      </c>
      <c r="F1164" s="5">
        <v>41</v>
      </c>
      <c r="G1164" t="str">
        <f>IF(Data[[#This Row],[Age]]&lt;25,"Under 25",IF(Data[[#This Row],[Age]]&lt;35,"25–34",IF(Data[[#This Row],[Age]]&lt;45,"35–44",IF(Data[[#This Row],[Age]]&lt;55,"45–54","55+"))))</f>
        <v>35–44</v>
      </c>
      <c r="H1164" t="s">
        <v>25</v>
      </c>
      <c r="I1164" t="s">
        <v>56</v>
      </c>
      <c r="J1164" t="s">
        <v>37</v>
      </c>
      <c r="K1164" s="1">
        <v>40750</v>
      </c>
      <c r="M1164" s="1" t="str">
        <f>IF(ISBLANK(Data[[#This Row],[EndDate]]),"Active","InActive")</f>
        <v>Active</v>
      </c>
      <c r="N1164" t="s">
        <v>57</v>
      </c>
      <c r="O1164" t="s">
        <v>76</v>
      </c>
      <c r="P1164" t="s">
        <v>22</v>
      </c>
      <c r="Q1164" s="2">
        <v>24436</v>
      </c>
    </row>
    <row r="1165" spans="1:17" x14ac:dyDescent="0.2">
      <c r="A1165" s="1">
        <v>43070</v>
      </c>
      <c r="B1165">
        <v>53652</v>
      </c>
      <c r="C1165" t="s">
        <v>80</v>
      </c>
      <c r="D1165" t="s">
        <v>41</v>
      </c>
      <c r="E1165" t="s">
        <v>62</v>
      </c>
      <c r="F1165" s="5">
        <v>41</v>
      </c>
      <c r="G1165" t="str">
        <f>IF(Data[[#This Row],[Age]]&lt;25,"Under 25",IF(Data[[#This Row],[Age]]&lt;35,"25–34",IF(Data[[#This Row],[Age]]&lt;45,"35–44",IF(Data[[#This Row],[Age]]&lt;55,"45–54","55+"))))</f>
        <v>35–44</v>
      </c>
      <c r="H1165" t="s">
        <v>49</v>
      </c>
      <c r="I1165" t="s">
        <v>56</v>
      </c>
      <c r="J1165" t="s">
        <v>35</v>
      </c>
      <c r="K1165" s="1">
        <v>33228</v>
      </c>
      <c r="M1165" s="1" t="str">
        <f>IF(ISBLANK(Data[[#This Row],[EndDate]]),"Active","InActive")</f>
        <v>Active</v>
      </c>
      <c r="N1165" t="s">
        <v>57</v>
      </c>
      <c r="O1165" t="s">
        <v>76</v>
      </c>
      <c r="P1165" t="s">
        <v>32</v>
      </c>
      <c r="Q1165" s="2">
        <v>5617</v>
      </c>
    </row>
    <row r="1166" spans="1:17" x14ac:dyDescent="0.2">
      <c r="A1166" s="1">
        <v>43435</v>
      </c>
      <c r="B1166">
        <v>53292</v>
      </c>
      <c r="C1166" t="s">
        <v>79</v>
      </c>
      <c r="D1166" t="s">
        <v>15</v>
      </c>
      <c r="E1166" t="s">
        <v>16</v>
      </c>
      <c r="F1166" s="5">
        <v>41</v>
      </c>
      <c r="G1166" t="str">
        <f>IF(Data[[#This Row],[Age]]&lt;25,"Under 25",IF(Data[[#This Row],[Age]]&lt;35,"25–34",IF(Data[[#This Row],[Age]]&lt;45,"35–44",IF(Data[[#This Row],[Age]]&lt;55,"45–54","55+"))))</f>
        <v>35–44</v>
      </c>
      <c r="H1166" t="s">
        <v>34</v>
      </c>
      <c r="I1166" t="s">
        <v>56</v>
      </c>
      <c r="J1166" t="s">
        <v>35</v>
      </c>
      <c r="K1166" s="1">
        <v>34124</v>
      </c>
      <c r="M1166" s="1" t="str">
        <f>IF(ISBLANK(Data[[#This Row],[EndDate]]),"Active","InActive")</f>
        <v>Active</v>
      </c>
      <c r="N1166" t="s">
        <v>57</v>
      </c>
      <c r="O1166" t="s">
        <v>76</v>
      </c>
      <c r="P1166" t="s">
        <v>40</v>
      </c>
      <c r="Q1166" s="2">
        <v>5576</v>
      </c>
    </row>
    <row r="1167" spans="1:17" x14ac:dyDescent="0.2">
      <c r="A1167" s="1">
        <v>42705</v>
      </c>
      <c r="B1167">
        <v>52248</v>
      </c>
      <c r="C1167" t="s">
        <v>80</v>
      </c>
      <c r="D1167" t="s">
        <v>41</v>
      </c>
      <c r="E1167" t="s">
        <v>42</v>
      </c>
      <c r="F1167" s="5">
        <v>41</v>
      </c>
      <c r="G1167" t="str">
        <f>IF(Data[[#This Row],[Age]]&lt;25,"Under 25",IF(Data[[#This Row],[Age]]&lt;35,"25–34",IF(Data[[#This Row],[Age]]&lt;45,"35–44",IF(Data[[#This Row],[Age]]&lt;55,"45–54","55+"))))</f>
        <v>35–44</v>
      </c>
      <c r="H1167" t="s">
        <v>46</v>
      </c>
      <c r="I1167" t="s">
        <v>56</v>
      </c>
      <c r="J1167" t="s">
        <v>26</v>
      </c>
      <c r="K1167" s="1">
        <v>40863</v>
      </c>
      <c r="M1167" s="1" t="str">
        <f>IF(ISBLANK(Data[[#This Row],[EndDate]]),"Active","InActive")</f>
        <v>Active</v>
      </c>
      <c r="N1167" t="s">
        <v>57</v>
      </c>
      <c r="O1167" t="s">
        <v>76</v>
      </c>
      <c r="P1167" t="s">
        <v>22</v>
      </c>
      <c r="Q1167" s="2">
        <v>34235</v>
      </c>
    </row>
    <row r="1168" spans="1:17" x14ac:dyDescent="0.2">
      <c r="A1168" s="1">
        <v>42705</v>
      </c>
      <c r="B1168">
        <v>49794</v>
      </c>
      <c r="C1168" t="s">
        <v>79</v>
      </c>
      <c r="D1168" t="s">
        <v>15</v>
      </c>
      <c r="E1168" t="s">
        <v>58</v>
      </c>
      <c r="F1168" s="5">
        <v>41</v>
      </c>
      <c r="G1168" t="str">
        <f>IF(Data[[#This Row],[Age]]&lt;25,"Under 25",IF(Data[[#This Row],[Age]]&lt;35,"25–34",IF(Data[[#This Row],[Age]]&lt;45,"35–44",IF(Data[[#This Row],[Age]]&lt;55,"45–54","55+"))))</f>
        <v>35–44</v>
      </c>
      <c r="H1168" t="s">
        <v>17</v>
      </c>
      <c r="I1168" t="s">
        <v>56</v>
      </c>
      <c r="J1168" t="s">
        <v>35</v>
      </c>
      <c r="K1168" s="1">
        <v>32526</v>
      </c>
      <c r="M1168" s="1" t="str">
        <f>IF(ISBLANK(Data[[#This Row],[EndDate]]),"Active","InActive")</f>
        <v>Active</v>
      </c>
      <c r="N1168" t="s">
        <v>57</v>
      </c>
      <c r="O1168" t="s">
        <v>76</v>
      </c>
      <c r="P1168" t="s">
        <v>22</v>
      </c>
      <c r="Q1168" s="2">
        <v>6027</v>
      </c>
    </row>
    <row r="1169" spans="1:17" x14ac:dyDescent="0.2">
      <c r="A1169" s="1">
        <v>42705</v>
      </c>
      <c r="B1169">
        <v>55778</v>
      </c>
      <c r="C1169" t="s">
        <v>80</v>
      </c>
      <c r="D1169" t="s">
        <v>15</v>
      </c>
      <c r="E1169" t="s">
        <v>16</v>
      </c>
      <c r="F1169" s="5">
        <v>41</v>
      </c>
      <c r="G1169" t="str">
        <f>IF(Data[[#This Row],[Age]]&lt;25,"Under 25",IF(Data[[#This Row],[Age]]&lt;35,"25–34",IF(Data[[#This Row],[Age]]&lt;45,"35–44",IF(Data[[#This Row],[Age]]&lt;55,"45–54","55+"))))</f>
        <v>35–44</v>
      </c>
      <c r="H1169" t="s">
        <v>46</v>
      </c>
      <c r="I1169" t="s">
        <v>18</v>
      </c>
      <c r="J1169" t="s">
        <v>35</v>
      </c>
      <c r="K1169" s="1">
        <v>40681</v>
      </c>
      <c r="M1169" s="1" t="str">
        <f>IF(ISBLANK(Data[[#This Row],[EndDate]]),"Active","InActive")</f>
        <v>Active</v>
      </c>
      <c r="N1169" t="s">
        <v>20</v>
      </c>
      <c r="O1169" t="s">
        <v>76</v>
      </c>
      <c r="P1169" t="s">
        <v>22</v>
      </c>
      <c r="Q1169" s="2">
        <v>38622</v>
      </c>
    </row>
    <row r="1170" spans="1:17" x14ac:dyDescent="0.2">
      <c r="A1170" s="1">
        <v>43070</v>
      </c>
      <c r="B1170">
        <v>3954</v>
      </c>
      <c r="C1170" t="s">
        <v>80</v>
      </c>
      <c r="D1170" t="s">
        <v>47</v>
      </c>
      <c r="E1170" t="s">
        <v>64</v>
      </c>
      <c r="F1170" s="5">
        <v>41</v>
      </c>
      <c r="G1170" t="str">
        <f>IF(Data[[#This Row],[Age]]&lt;25,"Under 25",IF(Data[[#This Row],[Age]]&lt;35,"25–34",IF(Data[[#This Row],[Age]]&lt;45,"35–44",IF(Data[[#This Row],[Age]]&lt;55,"45–54","55+"))))</f>
        <v>35–44</v>
      </c>
      <c r="H1170" t="s">
        <v>46</v>
      </c>
      <c r="I1170" t="s">
        <v>18</v>
      </c>
      <c r="J1170" t="s">
        <v>35</v>
      </c>
      <c r="K1170" s="1">
        <v>41536</v>
      </c>
      <c r="M1170" s="1" t="str">
        <f>IF(ISBLANK(Data[[#This Row],[EndDate]]),"Active","InActive")</f>
        <v>Active</v>
      </c>
      <c r="N1170" t="s">
        <v>20</v>
      </c>
      <c r="O1170" t="s">
        <v>76</v>
      </c>
      <c r="P1170" t="s">
        <v>32</v>
      </c>
      <c r="Q1170" s="2">
        <v>10701</v>
      </c>
    </row>
    <row r="1171" spans="1:17" x14ac:dyDescent="0.2">
      <c r="A1171" s="1">
        <v>43435</v>
      </c>
      <c r="B1171">
        <v>42474</v>
      </c>
      <c r="C1171" t="s">
        <v>80</v>
      </c>
      <c r="D1171" t="s">
        <v>29</v>
      </c>
      <c r="E1171" t="s">
        <v>36</v>
      </c>
      <c r="F1171" s="5">
        <v>41</v>
      </c>
      <c r="G1171" t="str">
        <f>IF(Data[[#This Row],[Age]]&lt;25,"Under 25",IF(Data[[#This Row],[Age]]&lt;35,"25–34",IF(Data[[#This Row],[Age]]&lt;45,"35–44",IF(Data[[#This Row],[Age]]&lt;55,"45–54","55+"))))</f>
        <v>35–44</v>
      </c>
      <c r="H1171" t="s">
        <v>49</v>
      </c>
      <c r="I1171" t="s">
        <v>18</v>
      </c>
      <c r="J1171" t="s">
        <v>35</v>
      </c>
      <c r="K1171" s="1">
        <v>41809</v>
      </c>
      <c r="M1171" s="1" t="str">
        <f>IF(ISBLANK(Data[[#This Row],[EndDate]]),"Active","InActive")</f>
        <v>Active</v>
      </c>
      <c r="N1171" t="s">
        <v>20</v>
      </c>
      <c r="O1171" t="s">
        <v>76</v>
      </c>
      <c r="P1171" t="s">
        <v>40</v>
      </c>
      <c r="Q1171" s="2">
        <v>23288</v>
      </c>
    </row>
    <row r="1172" spans="1:17" x14ac:dyDescent="0.2">
      <c r="A1172" s="1">
        <v>42705</v>
      </c>
      <c r="B1172">
        <v>50318</v>
      </c>
      <c r="C1172" t="s">
        <v>79</v>
      </c>
      <c r="D1172" t="s">
        <v>29</v>
      </c>
      <c r="E1172" t="s">
        <v>33</v>
      </c>
      <c r="F1172" s="5">
        <v>41</v>
      </c>
      <c r="G1172" t="str">
        <f>IF(Data[[#This Row],[Age]]&lt;25,"Under 25",IF(Data[[#This Row],[Age]]&lt;35,"25–34",IF(Data[[#This Row],[Age]]&lt;45,"35–44",IF(Data[[#This Row],[Age]]&lt;55,"45–54","55+"))))</f>
        <v>35–44</v>
      </c>
      <c r="H1172" t="s">
        <v>49</v>
      </c>
      <c r="I1172" t="s">
        <v>56</v>
      </c>
      <c r="J1172" t="s">
        <v>37</v>
      </c>
      <c r="K1172" s="1">
        <v>38608</v>
      </c>
      <c r="L1172" s="1">
        <v>38643</v>
      </c>
      <c r="M1172" s="1" t="str">
        <f>IF(ISBLANK(Data[[#This Row],[EndDate]]),"Active","InActive")</f>
        <v>InActive</v>
      </c>
      <c r="N1172" t="s">
        <v>57</v>
      </c>
      <c r="O1172" t="s">
        <v>76</v>
      </c>
      <c r="P1172" t="s">
        <v>22</v>
      </c>
      <c r="Q1172" s="2">
        <v>24436</v>
      </c>
    </row>
    <row r="1173" spans="1:17" x14ac:dyDescent="0.2">
      <c r="A1173" s="1">
        <v>42705</v>
      </c>
      <c r="B1173">
        <v>50426</v>
      </c>
      <c r="C1173" t="s">
        <v>79</v>
      </c>
      <c r="D1173" t="s">
        <v>47</v>
      </c>
      <c r="E1173" t="s">
        <v>48</v>
      </c>
      <c r="F1173" s="5">
        <v>41</v>
      </c>
      <c r="G1173" t="str">
        <f>IF(Data[[#This Row],[Age]]&lt;25,"Under 25",IF(Data[[#This Row],[Age]]&lt;35,"25–34",IF(Data[[#This Row],[Age]]&lt;45,"35–44",IF(Data[[#This Row],[Age]]&lt;55,"45–54","55+"))))</f>
        <v>35–44</v>
      </c>
      <c r="H1173" t="s">
        <v>34</v>
      </c>
      <c r="I1173" t="s">
        <v>56</v>
      </c>
      <c r="J1173" t="s">
        <v>37</v>
      </c>
      <c r="K1173" s="1">
        <v>38168</v>
      </c>
      <c r="M1173" s="1" t="str">
        <f>IF(ISBLANK(Data[[#This Row],[EndDate]]),"Active","InActive")</f>
        <v>Active</v>
      </c>
      <c r="N1173" t="s">
        <v>57</v>
      </c>
      <c r="O1173" t="s">
        <v>76</v>
      </c>
      <c r="P1173" t="s">
        <v>22</v>
      </c>
      <c r="Q1173" s="2">
        <v>4264</v>
      </c>
    </row>
    <row r="1174" spans="1:17" x14ac:dyDescent="0.2">
      <c r="A1174" s="1">
        <v>42705</v>
      </c>
      <c r="B1174">
        <v>103304</v>
      </c>
      <c r="C1174" t="s">
        <v>80</v>
      </c>
      <c r="D1174" t="s">
        <v>15</v>
      </c>
      <c r="E1174" t="s">
        <v>58</v>
      </c>
      <c r="F1174" s="5">
        <v>41</v>
      </c>
      <c r="G1174" t="str">
        <f>IF(Data[[#This Row],[Age]]&lt;25,"Under 25",IF(Data[[#This Row],[Age]]&lt;35,"25–34",IF(Data[[#This Row],[Age]]&lt;45,"35–44",IF(Data[[#This Row],[Age]]&lt;55,"45–54","55+"))))</f>
        <v>35–44</v>
      </c>
      <c r="H1174" t="s">
        <v>17</v>
      </c>
      <c r="I1174" t="s">
        <v>18</v>
      </c>
      <c r="J1174" t="s">
        <v>37</v>
      </c>
      <c r="K1174" s="1">
        <v>41217</v>
      </c>
      <c r="M1174" s="1" t="str">
        <f>IF(ISBLANK(Data[[#This Row],[EndDate]]),"Active","InActive")</f>
        <v>Active</v>
      </c>
      <c r="N1174" t="s">
        <v>20</v>
      </c>
      <c r="O1174" t="s">
        <v>76</v>
      </c>
      <c r="P1174" t="s">
        <v>22</v>
      </c>
      <c r="Q1174" s="2">
        <v>7544</v>
      </c>
    </row>
    <row r="1175" spans="1:17" x14ac:dyDescent="0.2">
      <c r="A1175" s="1">
        <v>42705</v>
      </c>
      <c r="B1175">
        <v>111976</v>
      </c>
      <c r="C1175" t="s">
        <v>80</v>
      </c>
      <c r="D1175" t="s">
        <v>23</v>
      </c>
      <c r="E1175" t="s">
        <v>24</v>
      </c>
      <c r="F1175" s="5">
        <v>41</v>
      </c>
      <c r="G1175" t="str">
        <f>IF(Data[[#This Row],[Age]]&lt;25,"Under 25",IF(Data[[#This Row],[Age]]&lt;35,"25–34",IF(Data[[#This Row],[Age]]&lt;45,"35–44",IF(Data[[#This Row],[Age]]&lt;55,"45–54","55+"))))</f>
        <v>35–44</v>
      </c>
      <c r="H1175" t="s">
        <v>31</v>
      </c>
      <c r="I1175" t="s">
        <v>18</v>
      </c>
      <c r="J1175" t="s">
        <v>37</v>
      </c>
      <c r="K1175" s="1">
        <v>41075</v>
      </c>
      <c r="M1175" s="1" t="str">
        <f>IF(ISBLANK(Data[[#This Row],[EndDate]]),"Active","InActive")</f>
        <v>Active</v>
      </c>
      <c r="N1175" t="s">
        <v>20</v>
      </c>
      <c r="O1175" t="s">
        <v>76</v>
      </c>
      <c r="P1175" t="s">
        <v>22</v>
      </c>
      <c r="Q1175" s="2">
        <v>11685</v>
      </c>
    </row>
    <row r="1176" spans="1:17" x14ac:dyDescent="0.2">
      <c r="A1176" s="1">
        <v>43435</v>
      </c>
      <c r="B1176">
        <v>54504</v>
      </c>
      <c r="C1176" t="s">
        <v>80</v>
      </c>
      <c r="D1176" t="s">
        <v>38</v>
      </c>
      <c r="E1176" t="s">
        <v>39</v>
      </c>
      <c r="F1176" s="5">
        <v>41</v>
      </c>
      <c r="G1176" t="str">
        <f>IF(Data[[#This Row],[Age]]&lt;25,"Under 25",IF(Data[[#This Row],[Age]]&lt;35,"25–34",IF(Data[[#This Row],[Age]]&lt;45,"35–44",IF(Data[[#This Row],[Age]]&lt;55,"45–54","55+"))))</f>
        <v>35–44</v>
      </c>
      <c r="H1176" t="s">
        <v>25</v>
      </c>
      <c r="I1176" t="s">
        <v>56</v>
      </c>
      <c r="J1176" t="s">
        <v>37</v>
      </c>
      <c r="K1176" s="1">
        <v>41713</v>
      </c>
      <c r="M1176" s="1" t="str">
        <f>IF(ISBLANK(Data[[#This Row],[EndDate]]),"Active","InActive")</f>
        <v>Active</v>
      </c>
      <c r="N1176" t="s">
        <v>57</v>
      </c>
      <c r="O1176" t="s">
        <v>76</v>
      </c>
      <c r="P1176" t="s">
        <v>40</v>
      </c>
      <c r="Q1176" s="2">
        <v>17548</v>
      </c>
    </row>
    <row r="1177" spans="1:17" x14ac:dyDescent="0.2">
      <c r="A1177" s="1">
        <v>42705</v>
      </c>
      <c r="B1177">
        <v>52536</v>
      </c>
      <c r="C1177" t="s">
        <v>80</v>
      </c>
      <c r="D1177" t="s">
        <v>41</v>
      </c>
      <c r="E1177" t="s">
        <v>68</v>
      </c>
      <c r="F1177" s="5">
        <v>41</v>
      </c>
      <c r="G1177" t="str">
        <f>IF(Data[[#This Row],[Age]]&lt;25,"Under 25",IF(Data[[#This Row],[Age]]&lt;35,"25–34",IF(Data[[#This Row],[Age]]&lt;45,"35–44",IF(Data[[#This Row],[Age]]&lt;55,"45–54","55+"))))</f>
        <v>35–44</v>
      </c>
      <c r="H1177" t="s">
        <v>31</v>
      </c>
      <c r="I1177" t="s">
        <v>56</v>
      </c>
      <c r="J1177" t="s">
        <v>35</v>
      </c>
      <c r="K1177" s="1">
        <v>37950</v>
      </c>
      <c r="M1177" s="1" t="str">
        <f>IF(ISBLANK(Data[[#This Row],[EndDate]]),"Active","InActive")</f>
        <v>Active</v>
      </c>
      <c r="N1177" t="s">
        <v>57</v>
      </c>
      <c r="O1177" t="s">
        <v>76</v>
      </c>
      <c r="P1177" t="s">
        <v>22</v>
      </c>
      <c r="Q1177" s="2">
        <v>32677</v>
      </c>
    </row>
    <row r="1178" spans="1:17" x14ac:dyDescent="0.2">
      <c r="A1178" s="1">
        <v>43070</v>
      </c>
      <c r="B1178">
        <v>52576</v>
      </c>
      <c r="C1178" t="s">
        <v>80</v>
      </c>
      <c r="D1178" t="s">
        <v>41</v>
      </c>
      <c r="E1178" t="s">
        <v>62</v>
      </c>
      <c r="F1178" s="5">
        <v>41</v>
      </c>
      <c r="G1178" t="str">
        <f>IF(Data[[#This Row],[Age]]&lt;25,"Under 25",IF(Data[[#This Row],[Age]]&lt;35,"25–34",IF(Data[[#This Row],[Age]]&lt;45,"35–44",IF(Data[[#This Row],[Age]]&lt;55,"45–54","55+"))))</f>
        <v>35–44</v>
      </c>
      <c r="H1178" t="s">
        <v>59</v>
      </c>
      <c r="I1178" t="s">
        <v>18</v>
      </c>
      <c r="J1178" t="s">
        <v>35</v>
      </c>
      <c r="K1178" s="1">
        <v>41201</v>
      </c>
      <c r="M1178" s="1" t="str">
        <f>IF(ISBLANK(Data[[#This Row],[EndDate]]),"Active","InActive")</f>
        <v>Active</v>
      </c>
      <c r="N1178" t="s">
        <v>20</v>
      </c>
      <c r="O1178" t="s">
        <v>76</v>
      </c>
      <c r="P1178" t="s">
        <v>32</v>
      </c>
      <c r="Q1178" s="2">
        <v>40713</v>
      </c>
    </row>
    <row r="1179" spans="1:17" x14ac:dyDescent="0.2">
      <c r="A1179" s="1">
        <v>43070</v>
      </c>
      <c r="B1179">
        <v>52682</v>
      </c>
      <c r="C1179" t="s">
        <v>80</v>
      </c>
      <c r="D1179" t="s">
        <v>43</v>
      </c>
      <c r="E1179" t="s">
        <v>44</v>
      </c>
      <c r="F1179" s="5">
        <v>41</v>
      </c>
      <c r="G1179" t="str">
        <f>IF(Data[[#This Row],[Age]]&lt;25,"Under 25",IF(Data[[#This Row],[Age]]&lt;35,"25–34",IF(Data[[#This Row],[Age]]&lt;45,"35–44",IF(Data[[#This Row],[Age]]&lt;55,"45–54","55+"))))</f>
        <v>35–44</v>
      </c>
      <c r="H1179" t="s">
        <v>17</v>
      </c>
      <c r="I1179" t="s">
        <v>18</v>
      </c>
      <c r="J1179" t="s">
        <v>35</v>
      </c>
      <c r="K1179" s="1">
        <v>37350</v>
      </c>
      <c r="M1179" s="1" t="str">
        <f>IF(ISBLANK(Data[[#This Row],[EndDate]]),"Active","InActive")</f>
        <v>Active</v>
      </c>
      <c r="N1179" t="s">
        <v>20</v>
      </c>
      <c r="O1179" t="s">
        <v>76</v>
      </c>
      <c r="P1179" t="s">
        <v>32</v>
      </c>
      <c r="Q1179" s="2">
        <v>15703</v>
      </c>
    </row>
    <row r="1180" spans="1:17" x14ac:dyDescent="0.2">
      <c r="A1180" s="1">
        <v>43070</v>
      </c>
      <c r="B1180">
        <v>55726</v>
      </c>
      <c r="C1180" t="s">
        <v>80</v>
      </c>
      <c r="D1180" t="s">
        <v>38</v>
      </c>
      <c r="E1180" t="s">
        <v>39</v>
      </c>
      <c r="F1180" s="5">
        <v>41</v>
      </c>
      <c r="G1180" t="str">
        <f>IF(Data[[#This Row],[Age]]&lt;25,"Under 25",IF(Data[[#This Row],[Age]]&lt;35,"25–34",IF(Data[[#This Row],[Age]]&lt;45,"35–44",IF(Data[[#This Row],[Age]]&lt;55,"45–54","55+"))))</f>
        <v>35–44</v>
      </c>
      <c r="H1180" t="s">
        <v>34</v>
      </c>
      <c r="I1180" t="s">
        <v>56</v>
      </c>
      <c r="J1180" t="s">
        <v>35</v>
      </c>
      <c r="K1180" s="1">
        <v>39744</v>
      </c>
      <c r="M1180" s="1" t="str">
        <f>IF(ISBLANK(Data[[#This Row],[EndDate]]),"Active","InActive")</f>
        <v>Active</v>
      </c>
      <c r="N1180" t="s">
        <v>57</v>
      </c>
      <c r="O1180" t="s">
        <v>76</v>
      </c>
      <c r="P1180" t="s">
        <v>32</v>
      </c>
      <c r="Q1180" s="2">
        <v>9594</v>
      </c>
    </row>
    <row r="1181" spans="1:17" x14ac:dyDescent="0.2">
      <c r="A1181" s="1">
        <v>43435</v>
      </c>
      <c r="B1181">
        <v>49216</v>
      </c>
      <c r="C1181" t="s">
        <v>79</v>
      </c>
      <c r="D1181" t="s">
        <v>38</v>
      </c>
      <c r="E1181" t="s">
        <v>45</v>
      </c>
      <c r="F1181" s="5">
        <v>41</v>
      </c>
      <c r="G1181" t="str">
        <f>IF(Data[[#This Row],[Age]]&lt;25,"Under 25",IF(Data[[#This Row],[Age]]&lt;35,"25–34",IF(Data[[#This Row],[Age]]&lt;45,"35–44",IF(Data[[#This Row],[Age]]&lt;55,"45–54","55+"))))</f>
        <v>35–44</v>
      </c>
      <c r="H1181" t="s">
        <v>31</v>
      </c>
      <c r="I1181" t="s">
        <v>56</v>
      </c>
      <c r="J1181" t="s">
        <v>35</v>
      </c>
      <c r="K1181" s="1">
        <v>41409</v>
      </c>
      <c r="M1181" s="1" t="str">
        <f>IF(ISBLANK(Data[[#This Row],[EndDate]]),"Active","InActive")</f>
        <v>Active</v>
      </c>
      <c r="N1181" t="s">
        <v>57</v>
      </c>
      <c r="O1181" t="s">
        <v>76</v>
      </c>
      <c r="P1181" t="s">
        <v>40</v>
      </c>
      <c r="Q1181" s="2">
        <v>20992</v>
      </c>
    </row>
    <row r="1182" spans="1:17" x14ac:dyDescent="0.2">
      <c r="A1182" s="1">
        <v>43435</v>
      </c>
      <c r="B1182">
        <v>51622</v>
      </c>
      <c r="C1182" t="s">
        <v>79</v>
      </c>
      <c r="D1182" t="s">
        <v>23</v>
      </c>
      <c r="E1182" t="s">
        <v>65</v>
      </c>
      <c r="F1182" s="5">
        <v>41</v>
      </c>
      <c r="G1182" t="str">
        <f>IF(Data[[#This Row],[Age]]&lt;25,"Under 25",IF(Data[[#This Row],[Age]]&lt;35,"25–34",IF(Data[[#This Row],[Age]]&lt;45,"35–44",IF(Data[[#This Row],[Age]]&lt;55,"45–54","55+"))))</f>
        <v>35–44</v>
      </c>
      <c r="H1182" t="s">
        <v>31</v>
      </c>
      <c r="I1182" t="s">
        <v>56</v>
      </c>
      <c r="J1182" t="s">
        <v>35</v>
      </c>
      <c r="K1182" s="1">
        <v>35969</v>
      </c>
      <c r="M1182" s="1" t="str">
        <f>IF(ISBLANK(Data[[#This Row],[EndDate]]),"Active","InActive")</f>
        <v>Active</v>
      </c>
      <c r="N1182" t="s">
        <v>57</v>
      </c>
      <c r="O1182" t="s">
        <v>76</v>
      </c>
      <c r="P1182" t="s">
        <v>40</v>
      </c>
      <c r="Q1182" s="2">
        <v>27019</v>
      </c>
    </row>
    <row r="1183" spans="1:17" x14ac:dyDescent="0.2">
      <c r="A1183" s="1">
        <v>43435</v>
      </c>
      <c r="B1183">
        <v>53752</v>
      </c>
      <c r="C1183" t="s">
        <v>80</v>
      </c>
      <c r="D1183" t="s">
        <v>29</v>
      </c>
      <c r="E1183" t="s">
        <v>33</v>
      </c>
      <c r="F1183" s="5">
        <v>41</v>
      </c>
      <c r="G1183" t="str">
        <f>IF(Data[[#This Row],[Age]]&lt;25,"Under 25",IF(Data[[#This Row],[Age]]&lt;35,"25–34",IF(Data[[#This Row],[Age]]&lt;45,"35–44",IF(Data[[#This Row],[Age]]&lt;55,"45–54","55+"))))</f>
        <v>35–44</v>
      </c>
      <c r="H1183" t="s">
        <v>49</v>
      </c>
      <c r="I1183" t="s">
        <v>18</v>
      </c>
      <c r="J1183" t="s">
        <v>35</v>
      </c>
      <c r="K1183" s="1">
        <v>39406</v>
      </c>
      <c r="M1183" s="1" t="str">
        <f>IF(ISBLANK(Data[[#This Row],[EndDate]]),"Active","InActive")</f>
        <v>Active</v>
      </c>
      <c r="N1183" t="s">
        <v>20</v>
      </c>
      <c r="O1183" t="s">
        <v>76</v>
      </c>
      <c r="P1183" t="s">
        <v>40</v>
      </c>
      <c r="Q1183" s="2">
        <v>21197</v>
      </c>
    </row>
    <row r="1184" spans="1:17" x14ac:dyDescent="0.2">
      <c r="A1184" s="1">
        <v>42705</v>
      </c>
      <c r="B1184">
        <v>111526</v>
      </c>
      <c r="C1184" t="s">
        <v>79</v>
      </c>
      <c r="D1184" t="s">
        <v>41</v>
      </c>
      <c r="E1184" t="s">
        <v>68</v>
      </c>
      <c r="F1184" s="5">
        <v>41</v>
      </c>
      <c r="G1184" t="str">
        <f>IF(Data[[#This Row],[Age]]&lt;25,"Under 25",IF(Data[[#This Row],[Age]]&lt;35,"25–34",IF(Data[[#This Row],[Age]]&lt;45,"35–44",IF(Data[[#This Row],[Age]]&lt;55,"45–54","55+"))))</f>
        <v>35–44</v>
      </c>
      <c r="H1184" t="s">
        <v>49</v>
      </c>
      <c r="I1184" t="s">
        <v>18</v>
      </c>
      <c r="J1184" t="s">
        <v>19</v>
      </c>
      <c r="K1184" s="1">
        <v>39995</v>
      </c>
      <c r="M1184" s="1" t="str">
        <f>IF(ISBLANK(Data[[#This Row],[EndDate]]),"Active","InActive")</f>
        <v>Active</v>
      </c>
      <c r="N1184" t="s">
        <v>20</v>
      </c>
      <c r="O1184" t="s">
        <v>76</v>
      </c>
      <c r="P1184" t="s">
        <v>22</v>
      </c>
      <c r="Q1184" s="2">
        <v>33497</v>
      </c>
    </row>
    <row r="1185" spans="1:17" x14ac:dyDescent="0.2">
      <c r="A1185" s="1">
        <v>42705</v>
      </c>
      <c r="B1185">
        <v>95784</v>
      </c>
      <c r="C1185" t="s">
        <v>80</v>
      </c>
      <c r="D1185" t="s">
        <v>15</v>
      </c>
      <c r="E1185" t="s">
        <v>16</v>
      </c>
      <c r="F1185" s="5">
        <v>41</v>
      </c>
      <c r="G1185" t="str">
        <f>IF(Data[[#This Row],[Age]]&lt;25,"Under 25",IF(Data[[#This Row],[Age]]&lt;35,"25–34",IF(Data[[#This Row],[Age]]&lt;45,"35–44",IF(Data[[#This Row],[Age]]&lt;55,"45–54","55+"))))</f>
        <v>35–44</v>
      </c>
      <c r="H1185" t="s">
        <v>25</v>
      </c>
      <c r="I1185" t="s">
        <v>56</v>
      </c>
      <c r="J1185" t="s">
        <v>19</v>
      </c>
      <c r="K1185" s="1">
        <v>39280</v>
      </c>
      <c r="M1185" s="1" t="str">
        <f>IF(ISBLANK(Data[[#This Row],[EndDate]]),"Active","InActive")</f>
        <v>Active</v>
      </c>
      <c r="N1185" t="s">
        <v>57</v>
      </c>
      <c r="O1185" t="s">
        <v>76</v>
      </c>
      <c r="P1185" t="s">
        <v>22</v>
      </c>
      <c r="Q1185" s="2">
        <v>7093</v>
      </c>
    </row>
    <row r="1186" spans="1:17" x14ac:dyDescent="0.2">
      <c r="A1186" s="1">
        <v>42705</v>
      </c>
      <c r="B1186">
        <v>92168</v>
      </c>
      <c r="C1186" t="s">
        <v>79</v>
      </c>
      <c r="D1186" t="s">
        <v>52</v>
      </c>
      <c r="E1186" t="s">
        <v>67</v>
      </c>
      <c r="F1186" s="5">
        <v>41</v>
      </c>
      <c r="G1186" t="str">
        <f>IF(Data[[#This Row],[Age]]&lt;25,"Under 25",IF(Data[[#This Row],[Age]]&lt;35,"25–34",IF(Data[[#This Row],[Age]]&lt;45,"35–44",IF(Data[[#This Row],[Age]]&lt;55,"45–54","55+"))))</f>
        <v>35–44</v>
      </c>
      <c r="H1186" t="s">
        <v>46</v>
      </c>
      <c r="I1186" t="s">
        <v>56</v>
      </c>
      <c r="J1186" t="s">
        <v>19</v>
      </c>
      <c r="K1186" s="1">
        <v>37754</v>
      </c>
      <c r="M1186" s="1" t="str">
        <f>IF(ISBLANK(Data[[#This Row],[EndDate]]),"Active","InActive")</f>
        <v>Active</v>
      </c>
      <c r="N1186" t="s">
        <v>57</v>
      </c>
      <c r="O1186" t="s">
        <v>76</v>
      </c>
      <c r="P1186" t="s">
        <v>22</v>
      </c>
      <c r="Q1186" s="2">
        <v>18409</v>
      </c>
    </row>
    <row r="1187" spans="1:17" x14ac:dyDescent="0.2">
      <c r="A1187" s="1">
        <v>43070</v>
      </c>
      <c r="B1187">
        <v>95782</v>
      </c>
      <c r="C1187" t="s">
        <v>79</v>
      </c>
      <c r="D1187" t="s">
        <v>43</v>
      </c>
      <c r="E1187" t="s">
        <v>60</v>
      </c>
      <c r="F1187" s="5">
        <v>41</v>
      </c>
      <c r="G1187" t="str">
        <f>IF(Data[[#This Row],[Age]]&lt;25,"Under 25",IF(Data[[#This Row],[Age]]&lt;35,"25–34",IF(Data[[#This Row],[Age]]&lt;45,"35–44",IF(Data[[#This Row],[Age]]&lt;55,"45–54","55+"))))</f>
        <v>35–44</v>
      </c>
      <c r="H1187" t="s">
        <v>34</v>
      </c>
      <c r="I1187" t="s">
        <v>56</v>
      </c>
      <c r="J1187" t="s">
        <v>19</v>
      </c>
      <c r="K1187" s="1">
        <v>39708</v>
      </c>
      <c r="M1187" s="1" t="str">
        <f>IF(ISBLANK(Data[[#This Row],[EndDate]]),"Active","InActive")</f>
        <v>Active</v>
      </c>
      <c r="N1187" t="s">
        <v>57</v>
      </c>
      <c r="O1187" t="s">
        <v>76</v>
      </c>
      <c r="P1187" t="s">
        <v>32</v>
      </c>
      <c r="Q1187" s="2">
        <v>32472</v>
      </c>
    </row>
    <row r="1188" spans="1:17" x14ac:dyDescent="0.2">
      <c r="A1188" s="1">
        <v>43435</v>
      </c>
      <c r="B1188">
        <v>97020</v>
      </c>
      <c r="C1188" t="s">
        <v>79</v>
      </c>
      <c r="D1188" t="s">
        <v>52</v>
      </c>
      <c r="E1188" t="s">
        <v>69</v>
      </c>
      <c r="F1188" s="5">
        <v>41</v>
      </c>
      <c r="G1188" t="str">
        <f>IF(Data[[#This Row],[Age]]&lt;25,"Under 25",IF(Data[[#This Row],[Age]]&lt;35,"25–34",IF(Data[[#This Row],[Age]]&lt;45,"35–44",IF(Data[[#This Row],[Age]]&lt;55,"45–54","55+"))))</f>
        <v>35–44</v>
      </c>
      <c r="H1188" t="s">
        <v>46</v>
      </c>
      <c r="I1188" t="s">
        <v>56</v>
      </c>
      <c r="J1188" t="s">
        <v>19</v>
      </c>
      <c r="K1188" s="1">
        <v>37428</v>
      </c>
      <c r="M1188" s="1" t="str">
        <f>IF(ISBLANK(Data[[#This Row],[EndDate]]),"Active","InActive")</f>
        <v>Active</v>
      </c>
      <c r="N1188" t="s">
        <v>57</v>
      </c>
      <c r="O1188" t="s">
        <v>76</v>
      </c>
      <c r="P1188" t="s">
        <v>40</v>
      </c>
      <c r="Q1188" s="2">
        <v>39401</v>
      </c>
    </row>
    <row r="1189" spans="1:17" x14ac:dyDescent="0.2">
      <c r="A1189" s="1">
        <v>43070</v>
      </c>
      <c r="B1189">
        <v>4600</v>
      </c>
      <c r="C1189" t="s">
        <v>79</v>
      </c>
      <c r="D1189" t="s">
        <v>27</v>
      </c>
      <c r="E1189" t="s">
        <v>72</v>
      </c>
      <c r="F1189" s="5">
        <v>41</v>
      </c>
      <c r="G1189" t="str">
        <f>IF(Data[[#This Row],[Age]]&lt;25,"Under 25",IF(Data[[#This Row],[Age]]&lt;35,"25–34",IF(Data[[#This Row],[Age]]&lt;45,"35–44",IF(Data[[#This Row],[Age]]&lt;55,"45–54","55+"))))</f>
        <v>35–44</v>
      </c>
      <c r="H1189" t="s">
        <v>31</v>
      </c>
      <c r="I1189" t="s">
        <v>18</v>
      </c>
      <c r="J1189" t="s">
        <v>35</v>
      </c>
      <c r="K1189" s="1">
        <v>41636</v>
      </c>
      <c r="L1189" s="1">
        <v>41736</v>
      </c>
      <c r="M1189" s="1" t="str">
        <f>IF(ISBLANK(Data[[#This Row],[EndDate]]),"Active","InActive")</f>
        <v>InActive</v>
      </c>
      <c r="N1189" t="s">
        <v>20</v>
      </c>
      <c r="O1189" t="s">
        <v>76</v>
      </c>
      <c r="P1189" t="s">
        <v>32</v>
      </c>
      <c r="Q1189" s="2">
        <v>4510</v>
      </c>
    </row>
    <row r="1190" spans="1:17" x14ac:dyDescent="0.2">
      <c r="A1190" s="1">
        <v>42705</v>
      </c>
      <c r="B1190">
        <v>100032</v>
      </c>
      <c r="C1190" t="s">
        <v>80</v>
      </c>
      <c r="D1190" t="s">
        <v>27</v>
      </c>
      <c r="E1190" t="s">
        <v>72</v>
      </c>
      <c r="F1190" s="5">
        <v>41</v>
      </c>
      <c r="G1190" t="str">
        <f>IF(Data[[#This Row],[Age]]&lt;25,"Under 25",IF(Data[[#This Row],[Age]]&lt;35,"25–34",IF(Data[[#This Row],[Age]]&lt;45,"35–44",IF(Data[[#This Row],[Age]]&lt;55,"45–54","55+"))))</f>
        <v>35–44</v>
      </c>
      <c r="H1190" t="s">
        <v>34</v>
      </c>
      <c r="I1190" t="s">
        <v>18</v>
      </c>
      <c r="J1190" t="s">
        <v>37</v>
      </c>
      <c r="K1190" s="1">
        <v>41244</v>
      </c>
      <c r="M1190" s="1" t="str">
        <f>IF(ISBLANK(Data[[#This Row],[EndDate]]),"Active","InActive")</f>
        <v>Active</v>
      </c>
      <c r="N1190" t="s">
        <v>20</v>
      </c>
      <c r="O1190" t="s">
        <v>76</v>
      </c>
      <c r="P1190" t="s">
        <v>22</v>
      </c>
      <c r="Q1190" s="2">
        <v>28454</v>
      </c>
    </row>
    <row r="1191" spans="1:17" x14ac:dyDescent="0.2">
      <c r="A1191" s="1">
        <v>42705</v>
      </c>
      <c r="B1191">
        <v>54064</v>
      </c>
      <c r="C1191" t="s">
        <v>79</v>
      </c>
      <c r="D1191" t="s">
        <v>15</v>
      </c>
      <c r="E1191" t="s">
        <v>58</v>
      </c>
      <c r="F1191" s="5">
        <v>42</v>
      </c>
      <c r="G1191" t="str">
        <f>IF(Data[[#This Row],[Age]]&lt;25,"Under 25",IF(Data[[#This Row],[Age]]&lt;35,"25–34",IF(Data[[#This Row],[Age]]&lt;45,"35–44",IF(Data[[#This Row],[Age]]&lt;55,"45–54","55+"))))</f>
        <v>35–44</v>
      </c>
      <c r="H1191" t="s">
        <v>46</v>
      </c>
      <c r="I1191" t="s">
        <v>56</v>
      </c>
      <c r="J1191" t="s">
        <v>26</v>
      </c>
      <c r="K1191" s="1">
        <v>40677</v>
      </c>
      <c r="M1191" s="1" t="str">
        <f>IF(ISBLANK(Data[[#This Row],[EndDate]]),"Active","InActive")</f>
        <v>Active</v>
      </c>
      <c r="N1191" t="s">
        <v>57</v>
      </c>
      <c r="O1191" t="s">
        <v>76</v>
      </c>
      <c r="P1191" t="s">
        <v>22</v>
      </c>
      <c r="Q1191" s="2">
        <v>32928</v>
      </c>
    </row>
    <row r="1192" spans="1:17" x14ac:dyDescent="0.2">
      <c r="A1192" s="1">
        <v>43435</v>
      </c>
      <c r="B1192">
        <v>53652</v>
      </c>
      <c r="C1192" t="s">
        <v>80</v>
      </c>
      <c r="D1192" t="s">
        <v>41</v>
      </c>
      <c r="E1192" t="s">
        <v>62</v>
      </c>
      <c r="F1192" s="5">
        <v>42</v>
      </c>
      <c r="G1192" t="str">
        <f>IF(Data[[#This Row],[Age]]&lt;25,"Under 25",IF(Data[[#This Row],[Age]]&lt;35,"25–34",IF(Data[[#This Row],[Age]]&lt;45,"35–44",IF(Data[[#This Row],[Age]]&lt;55,"45–54","55+"))))</f>
        <v>35–44</v>
      </c>
      <c r="H1192" t="s">
        <v>49</v>
      </c>
      <c r="I1192" t="s">
        <v>56</v>
      </c>
      <c r="J1192" t="s">
        <v>35</v>
      </c>
      <c r="K1192" s="1">
        <v>33228</v>
      </c>
      <c r="M1192" s="1" t="str">
        <f>IF(ISBLANK(Data[[#This Row],[EndDate]]),"Active","InActive")</f>
        <v>Active</v>
      </c>
      <c r="N1192" t="s">
        <v>57</v>
      </c>
      <c r="O1192" t="s">
        <v>76</v>
      </c>
      <c r="P1192" t="s">
        <v>40</v>
      </c>
      <c r="Q1192" s="2">
        <v>39228</v>
      </c>
    </row>
    <row r="1193" spans="1:17" x14ac:dyDescent="0.2">
      <c r="A1193" s="1">
        <v>43070</v>
      </c>
      <c r="B1193">
        <v>52248</v>
      </c>
      <c r="C1193" t="s">
        <v>80</v>
      </c>
      <c r="D1193" t="s">
        <v>41</v>
      </c>
      <c r="E1193" t="s">
        <v>42</v>
      </c>
      <c r="F1193" s="5">
        <v>42</v>
      </c>
      <c r="G1193" t="str">
        <f>IF(Data[[#This Row],[Age]]&lt;25,"Under 25",IF(Data[[#This Row],[Age]]&lt;35,"25–34",IF(Data[[#This Row],[Age]]&lt;45,"35–44",IF(Data[[#This Row],[Age]]&lt;55,"45–54","55+"))))</f>
        <v>35–44</v>
      </c>
      <c r="H1193" t="s">
        <v>46</v>
      </c>
      <c r="I1193" t="s">
        <v>56</v>
      </c>
      <c r="J1193" t="s">
        <v>26</v>
      </c>
      <c r="K1193" s="1">
        <v>40863</v>
      </c>
      <c r="M1193" s="1" t="str">
        <f>IF(ISBLANK(Data[[#This Row],[EndDate]]),"Active","InActive")</f>
        <v>Active</v>
      </c>
      <c r="N1193" t="s">
        <v>57</v>
      </c>
      <c r="O1193" t="s">
        <v>76</v>
      </c>
      <c r="P1193" t="s">
        <v>32</v>
      </c>
      <c r="Q1193" s="2">
        <v>19824</v>
      </c>
    </row>
    <row r="1194" spans="1:17" x14ac:dyDescent="0.2">
      <c r="A1194" s="1">
        <v>43070</v>
      </c>
      <c r="B1194">
        <v>49794</v>
      </c>
      <c r="C1194" t="s">
        <v>79</v>
      </c>
      <c r="D1194" t="s">
        <v>15</v>
      </c>
      <c r="E1194" t="s">
        <v>58</v>
      </c>
      <c r="F1194" s="5">
        <v>42</v>
      </c>
      <c r="G1194" t="str">
        <f>IF(Data[[#This Row],[Age]]&lt;25,"Under 25",IF(Data[[#This Row],[Age]]&lt;35,"25–34",IF(Data[[#This Row],[Age]]&lt;45,"35–44",IF(Data[[#This Row],[Age]]&lt;55,"45–54","55+"))))</f>
        <v>35–44</v>
      </c>
      <c r="H1194" t="s">
        <v>17</v>
      </c>
      <c r="I1194" t="s">
        <v>56</v>
      </c>
      <c r="J1194" t="s">
        <v>35</v>
      </c>
      <c r="K1194" s="1">
        <v>32526</v>
      </c>
      <c r="M1194" s="1" t="str">
        <f>IF(ISBLANK(Data[[#This Row],[EndDate]]),"Active","InActive")</f>
        <v>Active</v>
      </c>
      <c r="N1194" t="s">
        <v>57</v>
      </c>
      <c r="O1194" t="s">
        <v>76</v>
      </c>
      <c r="P1194" t="s">
        <v>32</v>
      </c>
      <c r="Q1194" s="2">
        <v>13608</v>
      </c>
    </row>
    <row r="1195" spans="1:17" x14ac:dyDescent="0.2">
      <c r="A1195" s="1">
        <v>43070</v>
      </c>
      <c r="B1195">
        <v>55778</v>
      </c>
      <c r="C1195" t="s">
        <v>80</v>
      </c>
      <c r="D1195" t="s">
        <v>15</v>
      </c>
      <c r="E1195" t="s">
        <v>16</v>
      </c>
      <c r="F1195" s="5">
        <v>42</v>
      </c>
      <c r="G1195" t="str">
        <f>IF(Data[[#This Row],[Age]]&lt;25,"Under 25",IF(Data[[#This Row],[Age]]&lt;35,"25–34",IF(Data[[#This Row],[Age]]&lt;45,"35–44",IF(Data[[#This Row],[Age]]&lt;55,"45–54","55+"))))</f>
        <v>35–44</v>
      </c>
      <c r="H1195" t="s">
        <v>46</v>
      </c>
      <c r="I1195" t="s">
        <v>18</v>
      </c>
      <c r="J1195" t="s">
        <v>35</v>
      </c>
      <c r="K1195" s="1">
        <v>40681</v>
      </c>
      <c r="M1195" s="1" t="str">
        <f>IF(ISBLANK(Data[[#This Row],[EndDate]]),"Active","InActive")</f>
        <v>Active</v>
      </c>
      <c r="N1195" t="s">
        <v>20</v>
      </c>
      <c r="O1195" t="s">
        <v>76</v>
      </c>
      <c r="P1195" t="s">
        <v>32</v>
      </c>
      <c r="Q1195" s="2">
        <v>26292</v>
      </c>
    </row>
    <row r="1196" spans="1:17" x14ac:dyDescent="0.2">
      <c r="A1196" s="1">
        <v>43435</v>
      </c>
      <c r="B1196">
        <v>41394</v>
      </c>
      <c r="C1196" t="s">
        <v>80</v>
      </c>
      <c r="D1196" t="s">
        <v>27</v>
      </c>
      <c r="E1196" t="s">
        <v>72</v>
      </c>
      <c r="F1196" s="5">
        <v>42</v>
      </c>
      <c r="G1196" t="str">
        <f>IF(Data[[#This Row],[Age]]&lt;25,"Under 25",IF(Data[[#This Row],[Age]]&lt;35,"25–34",IF(Data[[#This Row],[Age]]&lt;45,"35–44",IF(Data[[#This Row],[Age]]&lt;55,"45–54","55+"))))</f>
        <v>35–44</v>
      </c>
      <c r="H1196" t="s">
        <v>17</v>
      </c>
      <c r="I1196" t="s">
        <v>18</v>
      </c>
      <c r="J1196" t="s">
        <v>35</v>
      </c>
      <c r="K1196" s="1">
        <v>41804</v>
      </c>
      <c r="M1196" s="1" t="str">
        <f>IF(ISBLANK(Data[[#This Row],[EndDate]]),"Active","InActive")</f>
        <v>Active</v>
      </c>
      <c r="N1196" t="s">
        <v>20</v>
      </c>
      <c r="O1196" t="s">
        <v>76</v>
      </c>
      <c r="P1196" t="s">
        <v>40</v>
      </c>
      <c r="Q1196" s="2">
        <v>35994</v>
      </c>
    </row>
    <row r="1197" spans="1:17" x14ac:dyDescent="0.2">
      <c r="A1197" s="1">
        <v>42705</v>
      </c>
      <c r="B1197">
        <v>29062</v>
      </c>
      <c r="C1197" t="s">
        <v>80</v>
      </c>
      <c r="D1197" t="s">
        <v>15</v>
      </c>
      <c r="E1197" t="s">
        <v>58</v>
      </c>
      <c r="F1197" s="5">
        <v>42</v>
      </c>
      <c r="G1197" t="str">
        <f>IF(Data[[#This Row],[Age]]&lt;25,"Under 25",IF(Data[[#This Row],[Age]]&lt;35,"25–34",IF(Data[[#This Row],[Age]]&lt;45,"35–44",IF(Data[[#This Row],[Age]]&lt;55,"45–54","55+"))))</f>
        <v>35–44</v>
      </c>
      <c r="H1197" t="s">
        <v>17</v>
      </c>
      <c r="I1197" t="s">
        <v>56</v>
      </c>
      <c r="J1197" t="s">
        <v>37</v>
      </c>
      <c r="K1197" s="1">
        <v>39959</v>
      </c>
      <c r="M1197" s="1" t="str">
        <f>IF(ISBLANK(Data[[#This Row],[EndDate]]),"Active","InActive")</f>
        <v>Active</v>
      </c>
      <c r="N1197" t="s">
        <v>57</v>
      </c>
      <c r="O1197" t="s">
        <v>76</v>
      </c>
      <c r="P1197" t="s">
        <v>22</v>
      </c>
      <c r="Q1197" s="2">
        <v>7224</v>
      </c>
    </row>
    <row r="1198" spans="1:17" x14ac:dyDescent="0.2">
      <c r="A1198" s="1">
        <v>42705</v>
      </c>
      <c r="B1198">
        <v>41038</v>
      </c>
      <c r="C1198" t="s">
        <v>80</v>
      </c>
      <c r="D1198" t="s">
        <v>41</v>
      </c>
      <c r="E1198" t="s">
        <v>42</v>
      </c>
      <c r="F1198" s="5">
        <v>42</v>
      </c>
      <c r="G1198" t="str">
        <f>IF(Data[[#This Row],[Age]]&lt;25,"Under 25",IF(Data[[#This Row],[Age]]&lt;35,"25–34",IF(Data[[#This Row],[Age]]&lt;45,"35–44",IF(Data[[#This Row],[Age]]&lt;55,"45–54","55+"))))</f>
        <v>35–44</v>
      </c>
      <c r="H1198" t="s">
        <v>25</v>
      </c>
      <c r="I1198" t="s">
        <v>18</v>
      </c>
      <c r="J1198" t="s">
        <v>37</v>
      </c>
      <c r="K1198" s="1">
        <v>40984</v>
      </c>
      <c r="M1198" s="1" t="str">
        <f>IF(ISBLANK(Data[[#This Row],[EndDate]]),"Active","InActive")</f>
        <v>Active</v>
      </c>
      <c r="N1198" t="s">
        <v>20</v>
      </c>
      <c r="O1198" t="s">
        <v>76</v>
      </c>
      <c r="P1198" t="s">
        <v>22</v>
      </c>
      <c r="Q1198" s="2">
        <v>35658</v>
      </c>
    </row>
    <row r="1199" spans="1:17" x14ac:dyDescent="0.2">
      <c r="A1199" s="1">
        <v>43070</v>
      </c>
      <c r="B1199">
        <v>50318</v>
      </c>
      <c r="C1199" t="s">
        <v>79</v>
      </c>
      <c r="D1199" t="s">
        <v>29</v>
      </c>
      <c r="E1199" t="s">
        <v>33</v>
      </c>
      <c r="F1199" s="5">
        <v>42</v>
      </c>
      <c r="G1199" t="str">
        <f>IF(Data[[#This Row],[Age]]&lt;25,"Under 25",IF(Data[[#This Row],[Age]]&lt;35,"25–34",IF(Data[[#This Row],[Age]]&lt;45,"35–44",IF(Data[[#This Row],[Age]]&lt;55,"45–54","55+"))))</f>
        <v>35–44</v>
      </c>
      <c r="H1199" t="s">
        <v>49</v>
      </c>
      <c r="I1199" t="s">
        <v>56</v>
      </c>
      <c r="J1199" t="s">
        <v>37</v>
      </c>
      <c r="K1199" s="1">
        <v>38608</v>
      </c>
      <c r="M1199" s="1" t="str">
        <f>IF(ISBLANK(Data[[#This Row],[EndDate]]),"Active","InActive")</f>
        <v>Active</v>
      </c>
      <c r="N1199" t="s">
        <v>57</v>
      </c>
      <c r="O1199" t="s">
        <v>76</v>
      </c>
      <c r="P1199" t="s">
        <v>32</v>
      </c>
      <c r="Q1199" s="2">
        <v>8652</v>
      </c>
    </row>
    <row r="1200" spans="1:17" x14ac:dyDescent="0.2">
      <c r="A1200" s="1">
        <v>43435</v>
      </c>
      <c r="B1200">
        <v>41316</v>
      </c>
      <c r="C1200" t="s">
        <v>80</v>
      </c>
      <c r="D1200" t="s">
        <v>43</v>
      </c>
      <c r="E1200" t="s">
        <v>66</v>
      </c>
      <c r="F1200" s="5">
        <v>42</v>
      </c>
      <c r="G1200" t="str">
        <f>IF(Data[[#This Row],[Age]]&lt;25,"Under 25",IF(Data[[#This Row],[Age]]&lt;35,"25–34",IF(Data[[#This Row],[Age]]&lt;45,"35–44",IF(Data[[#This Row],[Age]]&lt;55,"45–54","55+"))))</f>
        <v>35–44</v>
      </c>
      <c r="H1200" t="s">
        <v>25</v>
      </c>
      <c r="I1200" t="s">
        <v>18</v>
      </c>
      <c r="J1200" t="s">
        <v>37</v>
      </c>
      <c r="K1200" s="1">
        <v>41815</v>
      </c>
      <c r="M1200" s="1" t="str">
        <f>IF(ISBLANK(Data[[#This Row],[EndDate]]),"Active","InActive")</f>
        <v>Active</v>
      </c>
      <c r="N1200" t="s">
        <v>20</v>
      </c>
      <c r="O1200" t="s">
        <v>76</v>
      </c>
      <c r="P1200" t="s">
        <v>40</v>
      </c>
      <c r="Q1200" s="2">
        <v>16254</v>
      </c>
    </row>
    <row r="1201" spans="1:17" x14ac:dyDescent="0.2">
      <c r="A1201" s="1">
        <v>42705</v>
      </c>
      <c r="B1201">
        <v>52018</v>
      </c>
      <c r="C1201" t="s">
        <v>80</v>
      </c>
      <c r="D1201" t="s">
        <v>43</v>
      </c>
      <c r="E1201" t="s">
        <v>66</v>
      </c>
      <c r="F1201" s="5">
        <v>42</v>
      </c>
      <c r="G1201" t="str">
        <f>IF(Data[[#This Row],[Age]]&lt;25,"Under 25",IF(Data[[#This Row],[Age]]&lt;35,"25–34",IF(Data[[#This Row],[Age]]&lt;45,"35–44",IF(Data[[#This Row],[Age]]&lt;55,"45–54","55+"))))</f>
        <v>35–44</v>
      </c>
      <c r="H1201" t="s">
        <v>25</v>
      </c>
      <c r="I1201" t="s">
        <v>56</v>
      </c>
      <c r="J1201" t="s">
        <v>37</v>
      </c>
      <c r="K1201" s="1">
        <v>40918</v>
      </c>
      <c r="M1201" s="1" t="str">
        <f>IF(ISBLANK(Data[[#This Row],[EndDate]]),"Active","InActive")</f>
        <v>Active</v>
      </c>
      <c r="N1201" t="s">
        <v>57</v>
      </c>
      <c r="O1201" t="s">
        <v>76</v>
      </c>
      <c r="P1201" t="s">
        <v>22</v>
      </c>
      <c r="Q1201" s="2">
        <v>31542</v>
      </c>
    </row>
    <row r="1202" spans="1:17" x14ac:dyDescent="0.2">
      <c r="A1202" s="1">
        <v>42705</v>
      </c>
      <c r="B1202">
        <v>52238</v>
      </c>
      <c r="C1202" t="s">
        <v>80</v>
      </c>
      <c r="D1202" t="s">
        <v>52</v>
      </c>
      <c r="E1202" t="s">
        <v>67</v>
      </c>
      <c r="F1202" s="5">
        <v>42</v>
      </c>
      <c r="G1202" t="str">
        <f>IF(Data[[#This Row],[Age]]&lt;25,"Under 25",IF(Data[[#This Row],[Age]]&lt;35,"25–34",IF(Data[[#This Row],[Age]]&lt;45,"35–44",IF(Data[[#This Row],[Age]]&lt;55,"45–54","55+"))))</f>
        <v>35–44</v>
      </c>
      <c r="H1202" t="s">
        <v>34</v>
      </c>
      <c r="I1202" t="s">
        <v>18</v>
      </c>
      <c r="J1202" t="s">
        <v>37</v>
      </c>
      <c r="K1202" s="1">
        <v>38546</v>
      </c>
      <c r="M1202" s="1" t="str">
        <f>IF(ISBLANK(Data[[#This Row],[EndDate]]),"Active","InActive")</f>
        <v>Active</v>
      </c>
      <c r="N1202" t="s">
        <v>20</v>
      </c>
      <c r="O1202" t="s">
        <v>76</v>
      </c>
      <c r="P1202" t="s">
        <v>22</v>
      </c>
      <c r="Q1202" s="2">
        <v>38010</v>
      </c>
    </row>
    <row r="1203" spans="1:17" x14ac:dyDescent="0.2">
      <c r="A1203" s="1">
        <v>42705</v>
      </c>
      <c r="B1203">
        <v>114492</v>
      </c>
      <c r="C1203" t="s">
        <v>79</v>
      </c>
      <c r="D1203" t="s">
        <v>38</v>
      </c>
      <c r="E1203" t="s">
        <v>61</v>
      </c>
      <c r="F1203" s="5">
        <v>42</v>
      </c>
      <c r="G1203" t="str">
        <f>IF(Data[[#This Row],[Age]]&lt;25,"Under 25",IF(Data[[#This Row],[Age]]&lt;35,"25–34",IF(Data[[#This Row],[Age]]&lt;45,"35–44",IF(Data[[#This Row],[Age]]&lt;55,"45–54","55+"))))</f>
        <v>35–44</v>
      </c>
      <c r="H1203" t="s">
        <v>46</v>
      </c>
      <c r="I1203" t="s">
        <v>18</v>
      </c>
      <c r="J1203" t="s">
        <v>37</v>
      </c>
      <c r="K1203" s="1">
        <v>40828</v>
      </c>
      <c r="L1203" s="1">
        <v>40888</v>
      </c>
      <c r="M1203" s="1" t="str">
        <f>IF(ISBLANK(Data[[#This Row],[EndDate]]),"Active","InActive")</f>
        <v>InActive</v>
      </c>
      <c r="N1203" t="s">
        <v>20</v>
      </c>
      <c r="O1203" t="s">
        <v>76</v>
      </c>
      <c r="P1203" t="s">
        <v>22</v>
      </c>
      <c r="Q1203" s="2">
        <v>35490</v>
      </c>
    </row>
    <row r="1204" spans="1:17" x14ac:dyDescent="0.2">
      <c r="A1204" s="1">
        <v>43070</v>
      </c>
      <c r="B1204">
        <v>50426</v>
      </c>
      <c r="C1204" t="s">
        <v>79</v>
      </c>
      <c r="D1204" t="s">
        <v>47</v>
      </c>
      <c r="E1204" t="s">
        <v>48</v>
      </c>
      <c r="F1204" s="5">
        <v>42</v>
      </c>
      <c r="G1204" t="str">
        <f>IF(Data[[#This Row],[Age]]&lt;25,"Under 25",IF(Data[[#This Row],[Age]]&lt;35,"25–34",IF(Data[[#This Row],[Age]]&lt;45,"35–44",IF(Data[[#This Row],[Age]]&lt;55,"45–54","55+"))))</f>
        <v>35–44</v>
      </c>
      <c r="H1204" t="s">
        <v>34</v>
      </c>
      <c r="I1204" t="s">
        <v>56</v>
      </c>
      <c r="J1204" t="s">
        <v>37</v>
      </c>
      <c r="K1204" s="1">
        <v>38168</v>
      </c>
      <c r="M1204" s="1" t="str">
        <f>IF(ISBLANK(Data[[#This Row],[EndDate]]),"Active","InActive")</f>
        <v>Active</v>
      </c>
      <c r="N1204" t="s">
        <v>57</v>
      </c>
      <c r="O1204" t="s">
        <v>76</v>
      </c>
      <c r="P1204" t="s">
        <v>32</v>
      </c>
      <c r="Q1204" s="2">
        <v>34356</v>
      </c>
    </row>
    <row r="1205" spans="1:17" x14ac:dyDescent="0.2">
      <c r="A1205" s="1">
        <v>43435</v>
      </c>
      <c r="B1205">
        <v>51468</v>
      </c>
      <c r="C1205" t="s">
        <v>80</v>
      </c>
      <c r="D1205" t="s">
        <v>38</v>
      </c>
      <c r="E1205" t="s">
        <v>39</v>
      </c>
      <c r="F1205" s="5">
        <v>42</v>
      </c>
      <c r="G1205" t="str">
        <f>IF(Data[[#This Row],[Age]]&lt;25,"Under 25",IF(Data[[#This Row],[Age]]&lt;35,"25–34",IF(Data[[#This Row],[Age]]&lt;45,"35–44",IF(Data[[#This Row],[Age]]&lt;55,"45–54","55+"))))</f>
        <v>35–44</v>
      </c>
      <c r="H1205" t="s">
        <v>59</v>
      </c>
      <c r="I1205" t="s">
        <v>18</v>
      </c>
      <c r="J1205" t="s">
        <v>37</v>
      </c>
      <c r="K1205" s="1">
        <v>41773</v>
      </c>
      <c r="M1205" s="1" t="str">
        <f>IF(ISBLANK(Data[[#This Row],[EndDate]]),"Active","InActive")</f>
        <v>Active</v>
      </c>
      <c r="N1205" t="s">
        <v>20</v>
      </c>
      <c r="O1205" t="s">
        <v>76</v>
      </c>
      <c r="P1205" t="s">
        <v>40</v>
      </c>
      <c r="Q1205" s="2">
        <v>16506</v>
      </c>
    </row>
    <row r="1206" spans="1:17" x14ac:dyDescent="0.2">
      <c r="A1206" s="1">
        <v>42705</v>
      </c>
      <c r="B1206">
        <v>19130</v>
      </c>
      <c r="C1206" t="s">
        <v>79</v>
      </c>
      <c r="D1206" t="s">
        <v>15</v>
      </c>
      <c r="E1206" t="s">
        <v>58</v>
      </c>
      <c r="F1206" s="5">
        <v>42</v>
      </c>
      <c r="G1206" t="str">
        <f>IF(Data[[#This Row],[Age]]&lt;25,"Under 25",IF(Data[[#This Row],[Age]]&lt;35,"25–34",IF(Data[[#This Row],[Age]]&lt;45,"35–44",IF(Data[[#This Row],[Age]]&lt;55,"45–54","55+"))))</f>
        <v>35–44</v>
      </c>
      <c r="H1206" t="s">
        <v>25</v>
      </c>
      <c r="I1206" t="s">
        <v>18</v>
      </c>
      <c r="J1206" t="s">
        <v>37</v>
      </c>
      <c r="K1206" s="1">
        <v>41166</v>
      </c>
      <c r="M1206" s="1" t="str">
        <f>IF(ISBLANK(Data[[#This Row],[EndDate]]),"Active","InActive")</f>
        <v>Active</v>
      </c>
      <c r="N1206" t="s">
        <v>20</v>
      </c>
      <c r="O1206" t="s">
        <v>76</v>
      </c>
      <c r="P1206" t="s">
        <v>22</v>
      </c>
      <c r="Q1206" s="2">
        <v>37758</v>
      </c>
    </row>
    <row r="1207" spans="1:17" x14ac:dyDescent="0.2">
      <c r="A1207" s="1">
        <v>43070</v>
      </c>
      <c r="B1207">
        <v>1976</v>
      </c>
      <c r="C1207" t="s">
        <v>80</v>
      </c>
      <c r="D1207" t="s">
        <v>43</v>
      </c>
      <c r="E1207" t="s">
        <v>66</v>
      </c>
      <c r="F1207" s="5">
        <v>42</v>
      </c>
      <c r="G1207" t="str">
        <f>IF(Data[[#This Row],[Age]]&lt;25,"Under 25",IF(Data[[#This Row],[Age]]&lt;35,"25–34",IF(Data[[#This Row],[Age]]&lt;45,"35–44",IF(Data[[#This Row],[Age]]&lt;55,"45–54","55+"))))</f>
        <v>35–44</v>
      </c>
      <c r="H1207" t="s">
        <v>49</v>
      </c>
      <c r="I1207" t="s">
        <v>18</v>
      </c>
      <c r="J1207" t="s">
        <v>37</v>
      </c>
      <c r="K1207" s="1">
        <v>41537</v>
      </c>
      <c r="M1207" s="1" t="str">
        <f>IF(ISBLANK(Data[[#This Row],[EndDate]]),"Active","InActive")</f>
        <v>Active</v>
      </c>
      <c r="N1207" t="s">
        <v>20</v>
      </c>
      <c r="O1207" t="s">
        <v>76</v>
      </c>
      <c r="P1207" t="s">
        <v>32</v>
      </c>
      <c r="Q1207" s="2">
        <v>33684</v>
      </c>
    </row>
    <row r="1208" spans="1:17" x14ac:dyDescent="0.2">
      <c r="A1208" s="1">
        <v>42705</v>
      </c>
      <c r="B1208">
        <v>50306</v>
      </c>
      <c r="C1208" t="s">
        <v>79</v>
      </c>
      <c r="D1208" t="s">
        <v>41</v>
      </c>
      <c r="E1208" t="s">
        <v>62</v>
      </c>
      <c r="F1208" s="5">
        <v>42</v>
      </c>
      <c r="G1208" t="str">
        <f>IF(Data[[#This Row],[Age]]&lt;25,"Under 25",IF(Data[[#This Row],[Age]]&lt;35,"25–34",IF(Data[[#This Row],[Age]]&lt;45,"35–44",IF(Data[[#This Row],[Age]]&lt;55,"45–54","55+"))))</f>
        <v>35–44</v>
      </c>
      <c r="H1208" t="s">
        <v>59</v>
      </c>
      <c r="I1208" t="s">
        <v>56</v>
      </c>
      <c r="J1208" t="s">
        <v>35</v>
      </c>
      <c r="K1208" s="1">
        <v>38664</v>
      </c>
      <c r="M1208" s="1" t="str">
        <f>IF(ISBLANK(Data[[#This Row],[EndDate]]),"Active","InActive")</f>
        <v>Active</v>
      </c>
      <c r="N1208" t="s">
        <v>57</v>
      </c>
      <c r="O1208" t="s">
        <v>76</v>
      </c>
      <c r="P1208" t="s">
        <v>22</v>
      </c>
      <c r="Q1208" s="2">
        <v>39858</v>
      </c>
    </row>
    <row r="1209" spans="1:17" x14ac:dyDescent="0.2">
      <c r="A1209" s="1">
        <v>43070</v>
      </c>
      <c r="B1209">
        <v>52536</v>
      </c>
      <c r="C1209" t="s">
        <v>80</v>
      </c>
      <c r="D1209" t="s">
        <v>41</v>
      </c>
      <c r="E1209" t="s">
        <v>68</v>
      </c>
      <c r="F1209" s="5">
        <v>42</v>
      </c>
      <c r="G1209" t="str">
        <f>IF(Data[[#This Row],[Age]]&lt;25,"Under 25",IF(Data[[#This Row],[Age]]&lt;35,"25–34",IF(Data[[#This Row],[Age]]&lt;45,"35–44",IF(Data[[#This Row],[Age]]&lt;55,"45–54","55+"))))</f>
        <v>35–44</v>
      </c>
      <c r="H1209" t="s">
        <v>31</v>
      </c>
      <c r="I1209" t="s">
        <v>56</v>
      </c>
      <c r="J1209" t="s">
        <v>35</v>
      </c>
      <c r="K1209" s="1">
        <v>37950</v>
      </c>
      <c r="M1209" s="1" t="str">
        <f>IF(ISBLANK(Data[[#This Row],[EndDate]]),"Active","InActive")</f>
        <v>Active</v>
      </c>
      <c r="N1209" t="s">
        <v>57</v>
      </c>
      <c r="O1209" t="s">
        <v>76</v>
      </c>
      <c r="P1209" t="s">
        <v>32</v>
      </c>
      <c r="Q1209" s="2">
        <v>35238</v>
      </c>
    </row>
    <row r="1210" spans="1:17" x14ac:dyDescent="0.2">
      <c r="A1210" s="1">
        <v>43435</v>
      </c>
      <c r="B1210">
        <v>52576</v>
      </c>
      <c r="C1210" t="s">
        <v>80</v>
      </c>
      <c r="D1210" t="s">
        <v>41</v>
      </c>
      <c r="E1210" t="s">
        <v>62</v>
      </c>
      <c r="F1210" s="5">
        <v>42</v>
      </c>
      <c r="G1210" t="str">
        <f>IF(Data[[#This Row],[Age]]&lt;25,"Under 25",IF(Data[[#This Row],[Age]]&lt;35,"25–34",IF(Data[[#This Row],[Age]]&lt;45,"35–44",IF(Data[[#This Row],[Age]]&lt;55,"45–54","55+"))))</f>
        <v>35–44</v>
      </c>
      <c r="H1210" t="s">
        <v>59</v>
      </c>
      <c r="I1210" t="s">
        <v>18</v>
      </c>
      <c r="J1210" t="s">
        <v>35</v>
      </c>
      <c r="K1210" s="1">
        <v>41201</v>
      </c>
      <c r="M1210" s="1" t="str">
        <f>IF(ISBLANK(Data[[#This Row],[EndDate]]),"Active","InActive")</f>
        <v>Active</v>
      </c>
      <c r="N1210" t="s">
        <v>20</v>
      </c>
      <c r="O1210" t="s">
        <v>76</v>
      </c>
      <c r="P1210" t="s">
        <v>40</v>
      </c>
      <c r="Q1210" s="2">
        <v>39060</v>
      </c>
    </row>
    <row r="1211" spans="1:17" x14ac:dyDescent="0.2">
      <c r="A1211" s="1">
        <v>43435</v>
      </c>
      <c r="B1211">
        <v>52682</v>
      </c>
      <c r="C1211" t="s">
        <v>80</v>
      </c>
      <c r="D1211" t="s">
        <v>43</v>
      </c>
      <c r="E1211" t="s">
        <v>44</v>
      </c>
      <c r="F1211" s="5">
        <v>42</v>
      </c>
      <c r="G1211" t="str">
        <f>IF(Data[[#This Row],[Age]]&lt;25,"Under 25",IF(Data[[#This Row],[Age]]&lt;35,"25–34",IF(Data[[#This Row],[Age]]&lt;45,"35–44",IF(Data[[#This Row],[Age]]&lt;55,"45–54","55+"))))</f>
        <v>35–44</v>
      </c>
      <c r="H1211" t="s">
        <v>17</v>
      </c>
      <c r="I1211" t="s">
        <v>18</v>
      </c>
      <c r="J1211" t="s">
        <v>35</v>
      </c>
      <c r="K1211" s="1">
        <v>37350</v>
      </c>
      <c r="M1211" s="1" t="str">
        <f>IF(ISBLANK(Data[[#This Row],[EndDate]]),"Active","InActive")</f>
        <v>Active</v>
      </c>
      <c r="N1211" t="s">
        <v>20</v>
      </c>
      <c r="O1211" t="s">
        <v>76</v>
      </c>
      <c r="P1211" t="s">
        <v>40</v>
      </c>
      <c r="Q1211" s="2">
        <v>40908</v>
      </c>
    </row>
    <row r="1212" spans="1:17" x14ac:dyDescent="0.2">
      <c r="A1212" s="1">
        <v>43435</v>
      </c>
      <c r="B1212">
        <v>55726</v>
      </c>
      <c r="C1212" t="s">
        <v>80</v>
      </c>
      <c r="D1212" t="s">
        <v>38</v>
      </c>
      <c r="E1212" t="s">
        <v>39</v>
      </c>
      <c r="F1212" s="5">
        <v>42</v>
      </c>
      <c r="G1212" t="str">
        <f>IF(Data[[#This Row],[Age]]&lt;25,"Under 25",IF(Data[[#This Row],[Age]]&lt;35,"25–34",IF(Data[[#This Row],[Age]]&lt;45,"35–44",IF(Data[[#This Row],[Age]]&lt;55,"45–54","55+"))))</f>
        <v>35–44</v>
      </c>
      <c r="H1212" t="s">
        <v>34</v>
      </c>
      <c r="I1212" t="s">
        <v>56</v>
      </c>
      <c r="J1212" t="s">
        <v>35</v>
      </c>
      <c r="K1212" s="1">
        <v>39744</v>
      </c>
      <c r="M1212" s="1" t="str">
        <f>IF(ISBLANK(Data[[#This Row],[EndDate]]),"Active","InActive")</f>
        <v>Active</v>
      </c>
      <c r="N1212" t="s">
        <v>57</v>
      </c>
      <c r="O1212" t="s">
        <v>76</v>
      </c>
      <c r="P1212" t="s">
        <v>40</v>
      </c>
      <c r="Q1212" s="2">
        <v>8694</v>
      </c>
    </row>
    <row r="1213" spans="1:17" x14ac:dyDescent="0.2">
      <c r="A1213" s="1">
        <v>43070</v>
      </c>
      <c r="B1213">
        <v>95784</v>
      </c>
      <c r="C1213" t="s">
        <v>80</v>
      </c>
      <c r="D1213" t="s">
        <v>15</v>
      </c>
      <c r="E1213" t="s">
        <v>16</v>
      </c>
      <c r="F1213" s="5">
        <v>42</v>
      </c>
      <c r="G1213" t="str">
        <f>IF(Data[[#This Row],[Age]]&lt;25,"Under 25",IF(Data[[#This Row],[Age]]&lt;35,"25–34",IF(Data[[#This Row],[Age]]&lt;45,"35–44",IF(Data[[#This Row],[Age]]&lt;55,"45–54","55+"))))</f>
        <v>35–44</v>
      </c>
      <c r="H1213" t="s">
        <v>25</v>
      </c>
      <c r="I1213" t="s">
        <v>56</v>
      </c>
      <c r="J1213" t="s">
        <v>19</v>
      </c>
      <c r="K1213" s="1">
        <v>39280</v>
      </c>
      <c r="M1213" s="1" t="str">
        <f>IF(ISBLANK(Data[[#This Row],[EndDate]]),"Active","InActive")</f>
        <v>Active</v>
      </c>
      <c r="N1213" t="s">
        <v>57</v>
      </c>
      <c r="O1213" t="s">
        <v>76</v>
      </c>
      <c r="P1213" t="s">
        <v>32</v>
      </c>
      <c r="Q1213" s="2">
        <v>33852</v>
      </c>
    </row>
    <row r="1214" spans="1:17" x14ac:dyDescent="0.2">
      <c r="A1214" s="1">
        <v>43070</v>
      </c>
      <c r="B1214">
        <v>92168</v>
      </c>
      <c r="C1214" t="s">
        <v>79</v>
      </c>
      <c r="D1214" t="s">
        <v>52</v>
      </c>
      <c r="E1214" t="s">
        <v>67</v>
      </c>
      <c r="F1214" s="5">
        <v>42</v>
      </c>
      <c r="G1214" t="str">
        <f>IF(Data[[#This Row],[Age]]&lt;25,"Under 25",IF(Data[[#This Row],[Age]]&lt;35,"25–34",IF(Data[[#This Row],[Age]]&lt;45,"35–44",IF(Data[[#This Row],[Age]]&lt;55,"45–54","55+"))))</f>
        <v>35–44</v>
      </c>
      <c r="H1214" t="s">
        <v>46</v>
      </c>
      <c r="I1214" t="s">
        <v>56</v>
      </c>
      <c r="J1214" t="s">
        <v>19</v>
      </c>
      <c r="K1214" s="1">
        <v>37754</v>
      </c>
      <c r="M1214" s="1" t="str">
        <f>IF(ISBLANK(Data[[#This Row],[EndDate]]),"Active","InActive")</f>
        <v>Active</v>
      </c>
      <c r="N1214" t="s">
        <v>57</v>
      </c>
      <c r="O1214" t="s">
        <v>76</v>
      </c>
      <c r="P1214" t="s">
        <v>32</v>
      </c>
      <c r="Q1214" s="2">
        <v>38136</v>
      </c>
    </row>
    <row r="1215" spans="1:17" x14ac:dyDescent="0.2">
      <c r="A1215" s="1">
        <v>43435</v>
      </c>
      <c r="B1215">
        <v>95782</v>
      </c>
      <c r="C1215" t="s">
        <v>79</v>
      </c>
      <c r="D1215" t="s">
        <v>43</v>
      </c>
      <c r="E1215" t="s">
        <v>60</v>
      </c>
      <c r="F1215" s="5">
        <v>42</v>
      </c>
      <c r="G1215" t="str">
        <f>IF(Data[[#This Row],[Age]]&lt;25,"Under 25",IF(Data[[#This Row],[Age]]&lt;35,"25–34",IF(Data[[#This Row],[Age]]&lt;45,"35–44",IF(Data[[#This Row],[Age]]&lt;55,"45–54","55+"))))</f>
        <v>35–44</v>
      </c>
      <c r="H1215" t="s">
        <v>34</v>
      </c>
      <c r="I1215" t="s">
        <v>56</v>
      </c>
      <c r="J1215" t="s">
        <v>19</v>
      </c>
      <c r="K1215" s="1">
        <v>39708</v>
      </c>
      <c r="M1215" s="1" t="str">
        <f>IF(ISBLANK(Data[[#This Row],[EndDate]]),"Active","InActive")</f>
        <v>Active</v>
      </c>
      <c r="N1215" t="s">
        <v>57</v>
      </c>
      <c r="O1215" t="s">
        <v>76</v>
      </c>
      <c r="P1215" t="s">
        <v>40</v>
      </c>
      <c r="Q1215" s="2">
        <v>14784</v>
      </c>
    </row>
    <row r="1216" spans="1:17" x14ac:dyDescent="0.2">
      <c r="A1216" s="1">
        <v>43070</v>
      </c>
      <c r="B1216">
        <v>22644</v>
      </c>
      <c r="C1216" t="s">
        <v>79</v>
      </c>
      <c r="D1216" t="s">
        <v>27</v>
      </c>
      <c r="E1216" t="s">
        <v>72</v>
      </c>
      <c r="F1216" s="5">
        <v>42</v>
      </c>
      <c r="G1216" t="str">
        <f>IF(Data[[#This Row],[Age]]&lt;25,"Under 25",IF(Data[[#This Row],[Age]]&lt;35,"25–34",IF(Data[[#This Row],[Age]]&lt;45,"35–44",IF(Data[[#This Row],[Age]]&lt;55,"45–54","55+"))))</f>
        <v>35–44</v>
      </c>
      <c r="H1216" t="s">
        <v>49</v>
      </c>
      <c r="I1216" t="s">
        <v>18</v>
      </c>
      <c r="J1216" t="s">
        <v>37</v>
      </c>
      <c r="K1216" s="1">
        <v>41605</v>
      </c>
      <c r="M1216" s="1" t="str">
        <f>IF(ISBLANK(Data[[#This Row],[EndDate]]),"Active","InActive")</f>
        <v>Active</v>
      </c>
      <c r="N1216" t="s">
        <v>20</v>
      </c>
      <c r="O1216" t="s">
        <v>76</v>
      </c>
      <c r="P1216" t="s">
        <v>32</v>
      </c>
      <c r="Q1216" s="2">
        <v>39354</v>
      </c>
    </row>
    <row r="1217" spans="1:17" x14ac:dyDescent="0.2">
      <c r="A1217" s="1">
        <v>42705</v>
      </c>
      <c r="B1217">
        <v>53250</v>
      </c>
      <c r="C1217" t="s">
        <v>79</v>
      </c>
      <c r="D1217" t="s">
        <v>38</v>
      </c>
      <c r="E1217" t="s">
        <v>61</v>
      </c>
      <c r="F1217" s="5">
        <v>43</v>
      </c>
      <c r="G1217" t="str">
        <f>IF(Data[[#This Row],[Age]]&lt;25,"Under 25",IF(Data[[#This Row],[Age]]&lt;35,"25–34",IF(Data[[#This Row],[Age]]&lt;45,"35–44",IF(Data[[#This Row],[Age]]&lt;55,"45–54","55+"))))</f>
        <v>35–44</v>
      </c>
      <c r="H1217" t="s">
        <v>34</v>
      </c>
      <c r="I1217" t="s">
        <v>56</v>
      </c>
      <c r="J1217" t="s">
        <v>35</v>
      </c>
      <c r="K1217" s="1">
        <v>40302</v>
      </c>
      <c r="M1217" s="1" t="str">
        <f>IF(ISBLANK(Data[[#This Row],[EndDate]]),"Active","InActive")</f>
        <v>Active</v>
      </c>
      <c r="N1217" t="s">
        <v>57</v>
      </c>
      <c r="O1217" t="s">
        <v>76</v>
      </c>
      <c r="P1217" t="s">
        <v>22</v>
      </c>
      <c r="Q1217" s="2">
        <v>10965</v>
      </c>
    </row>
    <row r="1218" spans="1:17" x14ac:dyDescent="0.2">
      <c r="A1218" s="1">
        <v>42705</v>
      </c>
      <c r="B1218">
        <v>54048</v>
      </c>
      <c r="C1218" t="s">
        <v>80</v>
      </c>
      <c r="D1218" t="s">
        <v>27</v>
      </c>
      <c r="E1218" t="s">
        <v>28</v>
      </c>
      <c r="F1218" s="5">
        <v>43</v>
      </c>
      <c r="G1218" t="str">
        <f>IF(Data[[#This Row],[Age]]&lt;25,"Under 25",IF(Data[[#This Row],[Age]]&lt;35,"25–34",IF(Data[[#This Row],[Age]]&lt;45,"35–44",IF(Data[[#This Row],[Age]]&lt;55,"45–54","55+"))))</f>
        <v>35–44</v>
      </c>
      <c r="H1218" t="s">
        <v>49</v>
      </c>
      <c r="I1218" t="s">
        <v>56</v>
      </c>
      <c r="J1218" t="s">
        <v>26</v>
      </c>
      <c r="K1218" s="1">
        <v>38165</v>
      </c>
      <c r="M1218" s="1" t="str">
        <f>IF(ISBLANK(Data[[#This Row],[EndDate]]),"Active","InActive")</f>
        <v>Active</v>
      </c>
      <c r="N1218" t="s">
        <v>57</v>
      </c>
      <c r="O1218" t="s">
        <v>76</v>
      </c>
      <c r="P1218" t="s">
        <v>22</v>
      </c>
      <c r="Q1218" s="2">
        <v>37625</v>
      </c>
    </row>
    <row r="1219" spans="1:17" x14ac:dyDescent="0.2">
      <c r="A1219" s="1">
        <v>43070</v>
      </c>
      <c r="B1219">
        <v>54064</v>
      </c>
      <c r="C1219" t="s">
        <v>79</v>
      </c>
      <c r="D1219" t="s">
        <v>15</v>
      </c>
      <c r="E1219" t="s">
        <v>58</v>
      </c>
      <c r="F1219" s="5">
        <v>43</v>
      </c>
      <c r="G1219" t="str">
        <f>IF(Data[[#This Row],[Age]]&lt;25,"Under 25",IF(Data[[#This Row],[Age]]&lt;35,"25–34",IF(Data[[#This Row],[Age]]&lt;45,"35–44",IF(Data[[#This Row],[Age]]&lt;55,"45–54","55+"))))</f>
        <v>35–44</v>
      </c>
      <c r="H1219" t="s">
        <v>46</v>
      </c>
      <c r="I1219" t="s">
        <v>56</v>
      </c>
      <c r="J1219" t="s">
        <v>26</v>
      </c>
      <c r="K1219" s="1">
        <v>40677</v>
      </c>
      <c r="M1219" s="1" t="str">
        <f>IF(ISBLANK(Data[[#This Row],[EndDate]]),"Active","InActive")</f>
        <v>Active</v>
      </c>
      <c r="N1219" t="s">
        <v>57</v>
      </c>
      <c r="O1219" t="s">
        <v>76</v>
      </c>
      <c r="P1219" t="s">
        <v>32</v>
      </c>
      <c r="Q1219" s="2">
        <v>41065</v>
      </c>
    </row>
    <row r="1220" spans="1:17" x14ac:dyDescent="0.2">
      <c r="A1220" s="1">
        <v>43435</v>
      </c>
      <c r="B1220">
        <v>54044</v>
      </c>
      <c r="C1220" t="s">
        <v>80</v>
      </c>
      <c r="D1220" t="s">
        <v>29</v>
      </c>
      <c r="E1220" t="s">
        <v>30</v>
      </c>
      <c r="F1220" s="5">
        <v>43</v>
      </c>
      <c r="G1220" t="str">
        <f>IF(Data[[#This Row],[Age]]&lt;25,"Under 25",IF(Data[[#This Row],[Age]]&lt;35,"25–34",IF(Data[[#This Row],[Age]]&lt;45,"35–44",IF(Data[[#This Row],[Age]]&lt;55,"45–54","55+"))))</f>
        <v>35–44</v>
      </c>
      <c r="H1220" t="s">
        <v>46</v>
      </c>
      <c r="I1220" t="s">
        <v>56</v>
      </c>
      <c r="J1220" t="s">
        <v>26</v>
      </c>
      <c r="K1220" s="1">
        <v>41817</v>
      </c>
      <c r="M1220" s="1" t="str">
        <f>IF(ISBLANK(Data[[#This Row],[EndDate]]),"Active","InActive")</f>
        <v>Active</v>
      </c>
      <c r="N1220" t="s">
        <v>57</v>
      </c>
      <c r="O1220" t="s">
        <v>76</v>
      </c>
      <c r="P1220" t="s">
        <v>40</v>
      </c>
      <c r="Q1220" s="2">
        <v>9675</v>
      </c>
    </row>
    <row r="1221" spans="1:17" x14ac:dyDescent="0.2">
      <c r="A1221" s="1">
        <v>42705</v>
      </c>
      <c r="B1221">
        <v>101256</v>
      </c>
      <c r="C1221" t="s">
        <v>80</v>
      </c>
      <c r="D1221" t="s">
        <v>50</v>
      </c>
      <c r="E1221" t="s">
        <v>55</v>
      </c>
      <c r="F1221" s="5">
        <v>43</v>
      </c>
      <c r="G1221" t="str">
        <f>IF(Data[[#This Row],[Age]]&lt;25,"Under 25",IF(Data[[#This Row],[Age]]&lt;35,"25–34",IF(Data[[#This Row],[Age]]&lt;45,"35–44",IF(Data[[#This Row],[Age]]&lt;55,"45–54","55+"))))</f>
        <v>35–44</v>
      </c>
      <c r="H1221" t="s">
        <v>25</v>
      </c>
      <c r="I1221" t="s">
        <v>18</v>
      </c>
      <c r="J1221" t="s">
        <v>26</v>
      </c>
      <c r="K1221" s="1">
        <v>40983</v>
      </c>
      <c r="M1221" s="1" t="str">
        <f>IF(ISBLANK(Data[[#This Row],[EndDate]]),"Active","InActive")</f>
        <v>Active</v>
      </c>
      <c r="N1221" t="s">
        <v>20</v>
      </c>
      <c r="O1221" t="s">
        <v>76</v>
      </c>
      <c r="P1221" t="s">
        <v>22</v>
      </c>
      <c r="Q1221" s="2">
        <v>21027</v>
      </c>
    </row>
    <row r="1222" spans="1:17" x14ac:dyDescent="0.2">
      <c r="A1222" s="1">
        <v>43435</v>
      </c>
      <c r="B1222">
        <v>52248</v>
      </c>
      <c r="C1222" t="s">
        <v>80</v>
      </c>
      <c r="D1222" t="s">
        <v>41</v>
      </c>
      <c r="E1222" t="s">
        <v>42</v>
      </c>
      <c r="F1222" s="5">
        <v>43</v>
      </c>
      <c r="G1222" t="str">
        <f>IF(Data[[#This Row],[Age]]&lt;25,"Under 25",IF(Data[[#This Row],[Age]]&lt;35,"25–34",IF(Data[[#This Row],[Age]]&lt;45,"35–44",IF(Data[[#This Row],[Age]]&lt;55,"45–54","55+"))))</f>
        <v>35–44</v>
      </c>
      <c r="H1222" t="s">
        <v>46</v>
      </c>
      <c r="I1222" t="s">
        <v>56</v>
      </c>
      <c r="J1222" t="s">
        <v>26</v>
      </c>
      <c r="K1222" s="1">
        <v>40863</v>
      </c>
      <c r="M1222" s="1" t="str">
        <f>IF(ISBLANK(Data[[#This Row],[EndDate]]),"Active","InActive")</f>
        <v>Active</v>
      </c>
      <c r="N1222" t="s">
        <v>57</v>
      </c>
      <c r="O1222" t="s">
        <v>76</v>
      </c>
      <c r="P1222" t="s">
        <v>40</v>
      </c>
      <c r="Q1222" s="2">
        <v>41710</v>
      </c>
    </row>
    <row r="1223" spans="1:17" x14ac:dyDescent="0.2">
      <c r="A1223" s="1">
        <v>42705</v>
      </c>
      <c r="B1223">
        <v>20706</v>
      </c>
      <c r="C1223" t="s">
        <v>80</v>
      </c>
      <c r="D1223" t="s">
        <v>43</v>
      </c>
      <c r="E1223" t="s">
        <v>44</v>
      </c>
      <c r="F1223" s="5">
        <v>43</v>
      </c>
      <c r="G1223" t="str">
        <f>IF(Data[[#This Row],[Age]]&lt;25,"Under 25",IF(Data[[#This Row],[Age]]&lt;35,"25–34",IF(Data[[#This Row],[Age]]&lt;45,"35–44",IF(Data[[#This Row],[Age]]&lt;55,"45–54","55+"))))</f>
        <v>35–44</v>
      </c>
      <c r="H1223" t="s">
        <v>25</v>
      </c>
      <c r="I1223" t="s">
        <v>18</v>
      </c>
      <c r="J1223" t="s">
        <v>35</v>
      </c>
      <c r="K1223" s="1">
        <v>40745</v>
      </c>
      <c r="M1223" s="1" t="str">
        <f>IF(ISBLANK(Data[[#This Row],[EndDate]]),"Active","InActive")</f>
        <v>Active</v>
      </c>
      <c r="N1223" t="s">
        <v>20</v>
      </c>
      <c r="O1223" t="s">
        <v>76</v>
      </c>
      <c r="P1223" t="s">
        <v>22</v>
      </c>
      <c r="Q1223" s="2">
        <v>37625</v>
      </c>
    </row>
    <row r="1224" spans="1:17" x14ac:dyDescent="0.2">
      <c r="A1224" s="1">
        <v>43435</v>
      </c>
      <c r="B1224">
        <v>49794</v>
      </c>
      <c r="C1224" t="s">
        <v>79</v>
      </c>
      <c r="D1224" t="s">
        <v>15</v>
      </c>
      <c r="E1224" t="s">
        <v>58</v>
      </c>
      <c r="F1224" s="5">
        <v>43</v>
      </c>
      <c r="G1224" t="str">
        <f>IF(Data[[#This Row],[Age]]&lt;25,"Under 25",IF(Data[[#This Row],[Age]]&lt;35,"25–34",IF(Data[[#This Row],[Age]]&lt;45,"35–44",IF(Data[[#This Row],[Age]]&lt;55,"45–54","55+"))))</f>
        <v>35–44</v>
      </c>
      <c r="H1224" t="s">
        <v>17</v>
      </c>
      <c r="I1224" t="s">
        <v>56</v>
      </c>
      <c r="J1224" t="s">
        <v>35</v>
      </c>
      <c r="K1224" s="1">
        <v>32526</v>
      </c>
      <c r="M1224" s="1" t="str">
        <f>IF(ISBLANK(Data[[#This Row],[EndDate]]),"Active","InActive")</f>
        <v>Active</v>
      </c>
      <c r="N1224" t="s">
        <v>57</v>
      </c>
      <c r="O1224" t="s">
        <v>76</v>
      </c>
      <c r="P1224" t="s">
        <v>40</v>
      </c>
      <c r="Q1224" s="2">
        <v>12943</v>
      </c>
    </row>
    <row r="1225" spans="1:17" x14ac:dyDescent="0.2">
      <c r="A1225" s="1">
        <v>43435</v>
      </c>
      <c r="B1225">
        <v>55778</v>
      </c>
      <c r="C1225" t="s">
        <v>80</v>
      </c>
      <c r="D1225" t="s">
        <v>15</v>
      </c>
      <c r="E1225" t="s">
        <v>16</v>
      </c>
      <c r="F1225" s="5">
        <v>43</v>
      </c>
      <c r="G1225" t="str">
        <f>IF(Data[[#This Row],[Age]]&lt;25,"Under 25",IF(Data[[#This Row],[Age]]&lt;35,"25–34",IF(Data[[#This Row],[Age]]&lt;45,"35–44",IF(Data[[#This Row],[Age]]&lt;55,"45–54","55+"))))</f>
        <v>35–44</v>
      </c>
      <c r="H1225" t="s">
        <v>46</v>
      </c>
      <c r="I1225" t="s">
        <v>18</v>
      </c>
      <c r="J1225" t="s">
        <v>35</v>
      </c>
      <c r="K1225" s="1">
        <v>40681</v>
      </c>
      <c r="M1225" s="1" t="str">
        <f>IF(ISBLANK(Data[[#This Row],[EndDate]]),"Active","InActive")</f>
        <v>Active</v>
      </c>
      <c r="N1225" t="s">
        <v>20</v>
      </c>
      <c r="O1225" t="s">
        <v>76</v>
      </c>
      <c r="P1225" t="s">
        <v>40</v>
      </c>
      <c r="Q1225" s="2">
        <v>31003</v>
      </c>
    </row>
    <row r="1226" spans="1:17" x14ac:dyDescent="0.2">
      <c r="A1226" s="1">
        <v>43070</v>
      </c>
      <c r="B1226">
        <v>29062</v>
      </c>
      <c r="C1226" t="s">
        <v>80</v>
      </c>
      <c r="D1226" t="s">
        <v>15</v>
      </c>
      <c r="E1226" t="s">
        <v>58</v>
      </c>
      <c r="F1226" s="5">
        <v>43</v>
      </c>
      <c r="G1226" t="str">
        <f>IF(Data[[#This Row],[Age]]&lt;25,"Under 25",IF(Data[[#This Row],[Age]]&lt;35,"25–34",IF(Data[[#This Row],[Age]]&lt;45,"35–44",IF(Data[[#This Row],[Age]]&lt;55,"45–54","55+"))))</f>
        <v>35–44</v>
      </c>
      <c r="H1226" t="s">
        <v>17</v>
      </c>
      <c r="I1226" t="s">
        <v>56</v>
      </c>
      <c r="J1226" t="s">
        <v>37</v>
      </c>
      <c r="K1226" s="1">
        <v>39959</v>
      </c>
      <c r="M1226" s="1" t="str">
        <f>IF(ISBLANK(Data[[#This Row],[EndDate]]),"Active","InActive")</f>
        <v>Active</v>
      </c>
      <c r="N1226" t="s">
        <v>57</v>
      </c>
      <c r="O1226" t="s">
        <v>76</v>
      </c>
      <c r="P1226" t="s">
        <v>32</v>
      </c>
      <c r="Q1226" s="2">
        <v>20382</v>
      </c>
    </row>
    <row r="1227" spans="1:17" x14ac:dyDescent="0.2">
      <c r="A1227" s="1">
        <v>43070</v>
      </c>
      <c r="B1227">
        <v>41038</v>
      </c>
      <c r="C1227" t="s">
        <v>80</v>
      </c>
      <c r="D1227" t="s">
        <v>41</v>
      </c>
      <c r="E1227" t="s">
        <v>42</v>
      </c>
      <c r="F1227" s="5">
        <v>43</v>
      </c>
      <c r="G1227" t="str">
        <f>IF(Data[[#This Row],[Age]]&lt;25,"Under 25",IF(Data[[#This Row],[Age]]&lt;35,"25–34",IF(Data[[#This Row],[Age]]&lt;45,"35–44",IF(Data[[#This Row],[Age]]&lt;55,"45–54","55+"))))</f>
        <v>35–44</v>
      </c>
      <c r="H1227" t="s">
        <v>25</v>
      </c>
      <c r="I1227" t="s">
        <v>18</v>
      </c>
      <c r="J1227" t="s">
        <v>37</v>
      </c>
      <c r="K1227" s="1">
        <v>40984</v>
      </c>
      <c r="M1227" s="1" t="str">
        <f>IF(ISBLANK(Data[[#This Row],[EndDate]]),"Active","InActive")</f>
        <v>Active</v>
      </c>
      <c r="N1227" t="s">
        <v>20</v>
      </c>
      <c r="O1227" t="s">
        <v>76</v>
      </c>
      <c r="P1227" t="s">
        <v>32</v>
      </c>
      <c r="Q1227" s="2">
        <v>34873</v>
      </c>
    </row>
    <row r="1228" spans="1:17" x14ac:dyDescent="0.2">
      <c r="A1228" s="1">
        <v>43435</v>
      </c>
      <c r="B1228">
        <v>50318</v>
      </c>
      <c r="C1228" t="s">
        <v>79</v>
      </c>
      <c r="D1228" t="s">
        <v>29</v>
      </c>
      <c r="E1228" t="s">
        <v>33</v>
      </c>
      <c r="F1228" s="5">
        <v>43</v>
      </c>
      <c r="G1228" t="str">
        <f>IF(Data[[#This Row],[Age]]&lt;25,"Under 25",IF(Data[[#This Row],[Age]]&lt;35,"25–34",IF(Data[[#This Row],[Age]]&lt;45,"35–44",IF(Data[[#This Row],[Age]]&lt;55,"45–54","55+"))))</f>
        <v>35–44</v>
      </c>
      <c r="H1228" t="s">
        <v>49</v>
      </c>
      <c r="I1228" t="s">
        <v>56</v>
      </c>
      <c r="J1228" t="s">
        <v>37</v>
      </c>
      <c r="K1228" s="1">
        <v>38608</v>
      </c>
      <c r="M1228" s="1" t="str">
        <f>IF(ISBLANK(Data[[#This Row],[EndDate]]),"Active","InActive")</f>
        <v>Active</v>
      </c>
      <c r="N1228" t="s">
        <v>57</v>
      </c>
      <c r="O1228" t="s">
        <v>76</v>
      </c>
      <c r="P1228" t="s">
        <v>40</v>
      </c>
      <c r="Q1228" s="2">
        <v>4945</v>
      </c>
    </row>
    <row r="1229" spans="1:17" x14ac:dyDescent="0.2">
      <c r="A1229" s="1">
        <v>42705</v>
      </c>
      <c r="B1229">
        <v>54510</v>
      </c>
      <c r="C1229" t="s">
        <v>80</v>
      </c>
      <c r="D1229" t="s">
        <v>38</v>
      </c>
      <c r="E1229" t="s">
        <v>61</v>
      </c>
      <c r="F1229" s="5">
        <v>43</v>
      </c>
      <c r="G1229" t="str">
        <f>IF(Data[[#This Row],[Age]]&lt;25,"Under 25",IF(Data[[#This Row],[Age]]&lt;35,"25–34",IF(Data[[#This Row],[Age]]&lt;45,"35–44",IF(Data[[#This Row],[Age]]&lt;55,"45–54","55+"))))</f>
        <v>35–44</v>
      </c>
      <c r="H1229" t="s">
        <v>59</v>
      </c>
      <c r="I1229" t="s">
        <v>56</v>
      </c>
      <c r="J1229" t="s">
        <v>37</v>
      </c>
      <c r="K1229" s="1">
        <v>39385</v>
      </c>
      <c r="M1229" s="1" t="str">
        <f>IF(ISBLANK(Data[[#This Row],[EndDate]]),"Active","InActive")</f>
        <v>Active</v>
      </c>
      <c r="N1229" t="s">
        <v>57</v>
      </c>
      <c r="O1229" t="s">
        <v>76</v>
      </c>
      <c r="P1229" t="s">
        <v>22</v>
      </c>
      <c r="Q1229" s="2">
        <v>16555</v>
      </c>
    </row>
    <row r="1230" spans="1:17" x14ac:dyDescent="0.2">
      <c r="A1230" s="1">
        <v>43070</v>
      </c>
      <c r="B1230">
        <v>52018</v>
      </c>
      <c r="C1230" t="s">
        <v>80</v>
      </c>
      <c r="D1230" t="s">
        <v>43</v>
      </c>
      <c r="E1230" t="s">
        <v>66</v>
      </c>
      <c r="F1230" s="5">
        <v>43</v>
      </c>
      <c r="G1230" t="str">
        <f>IF(Data[[#This Row],[Age]]&lt;25,"Under 25",IF(Data[[#This Row],[Age]]&lt;35,"25–34",IF(Data[[#This Row],[Age]]&lt;45,"35–44",IF(Data[[#This Row],[Age]]&lt;55,"45–54","55+"))))</f>
        <v>35–44</v>
      </c>
      <c r="H1230" t="s">
        <v>25</v>
      </c>
      <c r="I1230" t="s">
        <v>56</v>
      </c>
      <c r="J1230" t="s">
        <v>37</v>
      </c>
      <c r="K1230" s="1">
        <v>40918</v>
      </c>
      <c r="M1230" s="1" t="str">
        <f>IF(ISBLANK(Data[[#This Row],[EndDate]]),"Active","InActive")</f>
        <v>Active</v>
      </c>
      <c r="N1230" t="s">
        <v>57</v>
      </c>
      <c r="O1230" t="s">
        <v>76</v>
      </c>
      <c r="P1230" t="s">
        <v>32</v>
      </c>
      <c r="Q1230" s="2">
        <v>17458</v>
      </c>
    </row>
    <row r="1231" spans="1:17" x14ac:dyDescent="0.2">
      <c r="A1231" s="1">
        <v>43070</v>
      </c>
      <c r="B1231">
        <v>52238</v>
      </c>
      <c r="C1231" t="s">
        <v>80</v>
      </c>
      <c r="D1231" t="s">
        <v>52</v>
      </c>
      <c r="E1231" t="s">
        <v>67</v>
      </c>
      <c r="F1231" s="5">
        <v>43</v>
      </c>
      <c r="G1231" t="str">
        <f>IF(Data[[#This Row],[Age]]&lt;25,"Under 25",IF(Data[[#This Row],[Age]]&lt;35,"25–34",IF(Data[[#This Row],[Age]]&lt;45,"35–44",IF(Data[[#This Row],[Age]]&lt;55,"45–54","55+"))))</f>
        <v>35–44</v>
      </c>
      <c r="H1231" t="s">
        <v>34</v>
      </c>
      <c r="I1231" t="s">
        <v>18</v>
      </c>
      <c r="J1231" t="s">
        <v>37</v>
      </c>
      <c r="K1231" s="1">
        <v>38546</v>
      </c>
      <c r="M1231" s="1" t="str">
        <f>IF(ISBLANK(Data[[#This Row],[EndDate]]),"Active","InActive")</f>
        <v>Active</v>
      </c>
      <c r="N1231" t="s">
        <v>20</v>
      </c>
      <c r="O1231" t="s">
        <v>76</v>
      </c>
      <c r="P1231" t="s">
        <v>32</v>
      </c>
      <c r="Q1231" s="2">
        <v>34873</v>
      </c>
    </row>
    <row r="1232" spans="1:17" x14ac:dyDescent="0.2">
      <c r="A1232" s="1">
        <v>43435</v>
      </c>
      <c r="B1232">
        <v>50426</v>
      </c>
      <c r="C1232" t="s">
        <v>79</v>
      </c>
      <c r="D1232" t="s">
        <v>47</v>
      </c>
      <c r="E1232" t="s">
        <v>48</v>
      </c>
      <c r="F1232" s="5">
        <v>43</v>
      </c>
      <c r="G1232" t="str">
        <f>IF(Data[[#This Row],[Age]]&lt;25,"Under 25",IF(Data[[#This Row],[Age]]&lt;35,"25–34",IF(Data[[#This Row],[Age]]&lt;45,"35–44",IF(Data[[#This Row],[Age]]&lt;55,"45–54","55+"))))</f>
        <v>35–44</v>
      </c>
      <c r="H1232" t="s">
        <v>34</v>
      </c>
      <c r="I1232" t="s">
        <v>56</v>
      </c>
      <c r="J1232" t="s">
        <v>37</v>
      </c>
      <c r="K1232" s="1">
        <v>38168</v>
      </c>
      <c r="M1232" s="1" t="str">
        <f>IF(ISBLANK(Data[[#This Row],[EndDate]]),"Active","InActive")</f>
        <v>Active</v>
      </c>
      <c r="N1232" t="s">
        <v>57</v>
      </c>
      <c r="O1232" t="s">
        <v>76</v>
      </c>
      <c r="P1232" t="s">
        <v>40</v>
      </c>
      <c r="Q1232" s="2">
        <v>27305</v>
      </c>
    </row>
    <row r="1233" spans="1:17" x14ac:dyDescent="0.2">
      <c r="A1233" s="1">
        <v>43435</v>
      </c>
      <c r="B1233">
        <v>55588</v>
      </c>
      <c r="C1233" t="s">
        <v>80</v>
      </c>
      <c r="D1233" t="s">
        <v>38</v>
      </c>
      <c r="E1233" t="s">
        <v>39</v>
      </c>
      <c r="F1233" s="5">
        <v>43</v>
      </c>
      <c r="G1233" t="str">
        <f>IF(Data[[#This Row],[Age]]&lt;25,"Under 25",IF(Data[[#This Row],[Age]]&lt;35,"25–34",IF(Data[[#This Row],[Age]]&lt;45,"35–44",IF(Data[[#This Row],[Age]]&lt;55,"45–54","55+"))))</f>
        <v>35–44</v>
      </c>
      <c r="H1233" t="s">
        <v>25</v>
      </c>
      <c r="I1233" t="s">
        <v>18</v>
      </c>
      <c r="J1233" t="s">
        <v>37</v>
      </c>
      <c r="K1233" s="1">
        <v>41663</v>
      </c>
      <c r="M1233" s="1" t="str">
        <f>IF(ISBLANK(Data[[#This Row],[EndDate]]),"Active","InActive")</f>
        <v>Active</v>
      </c>
      <c r="N1233" t="s">
        <v>20</v>
      </c>
      <c r="O1233" t="s">
        <v>76</v>
      </c>
      <c r="P1233" t="s">
        <v>40</v>
      </c>
      <c r="Q1233" s="2">
        <v>32594</v>
      </c>
    </row>
    <row r="1234" spans="1:17" x14ac:dyDescent="0.2">
      <c r="A1234" s="1">
        <v>43070</v>
      </c>
      <c r="B1234">
        <v>19130</v>
      </c>
      <c r="C1234" t="s">
        <v>79</v>
      </c>
      <c r="D1234" t="s">
        <v>15</v>
      </c>
      <c r="E1234" t="s">
        <v>58</v>
      </c>
      <c r="F1234" s="5">
        <v>43</v>
      </c>
      <c r="G1234" t="str">
        <f>IF(Data[[#This Row],[Age]]&lt;25,"Under 25",IF(Data[[#This Row],[Age]]&lt;35,"25–34",IF(Data[[#This Row],[Age]]&lt;45,"35–44",IF(Data[[#This Row],[Age]]&lt;55,"45–54","55+"))))</f>
        <v>35–44</v>
      </c>
      <c r="H1234" t="s">
        <v>25</v>
      </c>
      <c r="I1234" t="s">
        <v>18</v>
      </c>
      <c r="J1234" t="s">
        <v>37</v>
      </c>
      <c r="K1234" s="1">
        <v>41166</v>
      </c>
      <c r="M1234" s="1" t="str">
        <f>IF(ISBLANK(Data[[#This Row],[EndDate]]),"Active","InActive")</f>
        <v>Active</v>
      </c>
      <c r="N1234" t="s">
        <v>20</v>
      </c>
      <c r="O1234" t="s">
        <v>76</v>
      </c>
      <c r="P1234" t="s">
        <v>32</v>
      </c>
      <c r="Q1234" s="2">
        <v>31089</v>
      </c>
    </row>
    <row r="1235" spans="1:17" x14ac:dyDescent="0.2">
      <c r="A1235" s="1">
        <v>43435</v>
      </c>
      <c r="B1235">
        <v>43662</v>
      </c>
      <c r="C1235" t="s">
        <v>80</v>
      </c>
      <c r="D1235" t="s">
        <v>43</v>
      </c>
      <c r="E1235" t="s">
        <v>60</v>
      </c>
      <c r="F1235" s="5">
        <v>43</v>
      </c>
      <c r="G1235" t="str">
        <f>IF(Data[[#This Row],[Age]]&lt;25,"Under 25",IF(Data[[#This Row],[Age]]&lt;35,"25–34",IF(Data[[#This Row],[Age]]&lt;45,"35–44",IF(Data[[#This Row],[Age]]&lt;55,"45–54","55+"))))</f>
        <v>35–44</v>
      </c>
      <c r="H1235" t="s">
        <v>31</v>
      </c>
      <c r="I1235" t="s">
        <v>18</v>
      </c>
      <c r="J1235" t="s">
        <v>37</v>
      </c>
      <c r="K1235" s="1">
        <v>41870</v>
      </c>
      <c r="M1235" s="1" t="str">
        <f>IF(ISBLANK(Data[[#This Row],[EndDate]]),"Active","InActive")</f>
        <v>Active</v>
      </c>
      <c r="N1235" t="s">
        <v>20</v>
      </c>
      <c r="O1235" t="s">
        <v>76</v>
      </c>
      <c r="P1235" t="s">
        <v>40</v>
      </c>
      <c r="Q1235" s="2">
        <v>37152</v>
      </c>
    </row>
    <row r="1236" spans="1:17" x14ac:dyDescent="0.2">
      <c r="A1236" s="1">
        <v>43070</v>
      </c>
      <c r="B1236">
        <v>50306</v>
      </c>
      <c r="C1236" t="s">
        <v>79</v>
      </c>
      <c r="D1236" t="s">
        <v>41</v>
      </c>
      <c r="E1236" t="s">
        <v>62</v>
      </c>
      <c r="F1236" s="5">
        <v>43</v>
      </c>
      <c r="G1236" t="str">
        <f>IF(Data[[#This Row],[Age]]&lt;25,"Under 25",IF(Data[[#This Row],[Age]]&lt;35,"25–34",IF(Data[[#This Row],[Age]]&lt;45,"35–44",IF(Data[[#This Row],[Age]]&lt;55,"45–54","55+"))))</f>
        <v>35–44</v>
      </c>
      <c r="H1236" t="s">
        <v>59</v>
      </c>
      <c r="I1236" t="s">
        <v>56</v>
      </c>
      <c r="J1236" t="s">
        <v>35</v>
      </c>
      <c r="K1236" s="1">
        <v>38664</v>
      </c>
      <c r="M1236" s="1" t="str">
        <f>IF(ISBLANK(Data[[#This Row],[EndDate]]),"Active","InActive")</f>
        <v>Active</v>
      </c>
      <c r="N1236" t="s">
        <v>57</v>
      </c>
      <c r="O1236" t="s">
        <v>76</v>
      </c>
      <c r="P1236" t="s">
        <v>32</v>
      </c>
      <c r="Q1236" s="2">
        <v>11739</v>
      </c>
    </row>
    <row r="1237" spans="1:17" x14ac:dyDescent="0.2">
      <c r="A1237" s="1">
        <v>43435</v>
      </c>
      <c r="B1237">
        <v>52536</v>
      </c>
      <c r="C1237" t="s">
        <v>80</v>
      </c>
      <c r="D1237" t="s">
        <v>41</v>
      </c>
      <c r="E1237" t="s">
        <v>68</v>
      </c>
      <c r="F1237" s="5">
        <v>43</v>
      </c>
      <c r="G1237" t="str">
        <f>IF(Data[[#This Row],[Age]]&lt;25,"Under 25",IF(Data[[#This Row],[Age]]&lt;35,"25–34",IF(Data[[#This Row],[Age]]&lt;45,"35–44",IF(Data[[#This Row],[Age]]&lt;55,"45–54","55+"))))</f>
        <v>35–44</v>
      </c>
      <c r="H1237" t="s">
        <v>31</v>
      </c>
      <c r="I1237" t="s">
        <v>56</v>
      </c>
      <c r="J1237" t="s">
        <v>35</v>
      </c>
      <c r="K1237" s="1">
        <v>37950</v>
      </c>
      <c r="M1237" s="1" t="str">
        <f>IF(ISBLANK(Data[[#This Row],[EndDate]]),"Active","InActive")</f>
        <v>Active</v>
      </c>
      <c r="N1237" t="s">
        <v>57</v>
      </c>
      <c r="O1237" t="s">
        <v>76</v>
      </c>
      <c r="P1237" t="s">
        <v>40</v>
      </c>
      <c r="Q1237" s="2">
        <v>13588</v>
      </c>
    </row>
    <row r="1238" spans="1:17" x14ac:dyDescent="0.2">
      <c r="A1238" s="1">
        <v>43435</v>
      </c>
      <c r="B1238">
        <v>95784</v>
      </c>
      <c r="C1238" t="s">
        <v>80</v>
      </c>
      <c r="D1238" t="s">
        <v>15</v>
      </c>
      <c r="E1238" t="s">
        <v>16</v>
      </c>
      <c r="F1238" s="5">
        <v>43</v>
      </c>
      <c r="G1238" t="str">
        <f>IF(Data[[#This Row],[Age]]&lt;25,"Under 25",IF(Data[[#This Row],[Age]]&lt;35,"25–34",IF(Data[[#This Row],[Age]]&lt;45,"35–44",IF(Data[[#This Row],[Age]]&lt;55,"45–54","55+"))))</f>
        <v>35–44</v>
      </c>
      <c r="H1238" t="s">
        <v>25</v>
      </c>
      <c r="I1238" t="s">
        <v>56</v>
      </c>
      <c r="J1238" t="s">
        <v>19</v>
      </c>
      <c r="K1238" s="1">
        <v>39280</v>
      </c>
      <c r="M1238" s="1" t="str">
        <f>IF(ISBLANK(Data[[#This Row],[EndDate]]),"Active","InActive")</f>
        <v>Active</v>
      </c>
      <c r="N1238" t="s">
        <v>57</v>
      </c>
      <c r="O1238" t="s">
        <v>76</v>
      </c>
      <c r="P1238" t="s">
        <v>40</v>
      </c>
      <c r="Q1238" s="2">
        <v>13760</v>
      </c>
    </row>
    <row r="1239" spans="1:17" x14ac:dyDescent="0.2">
      <c r="A1239" s="1">
        <v>43070</v>
      </c>
      <c r="B1239">
        <v>92290</v>
      </c>
      <c r="C1239" t="s">
        <v>79</v>
      </c>
      <c r="D1239" t="s">
        <v>41</v>
      </c>
      <c r="E1239" t="s">
        <v>68</v>
      </c>
      <c r="F1239" s="5">
        <v>43</v>
      </c>
      <c r="G1239" t="str">
        <f>IF(Data[[#This Row],[Age]]&lt;25,"Under 25",IF(Data[[#This Row],[Age]]&lt;35,"25–34",IF(Data[[#This Row],[Age]]&lt;45,"35–44",IF(Data[[#This Row],[Age]]&lt;55,"45–54","55+"))))</f>
        <v>35–44</v>
      </c>
      <c r="H1239" t="s">
        <v>25</v>
      </c>
      <c r="I1239" t="s">
        <v>56</v>
      </c>
      <c r="J1239" t="s">
        <v>19</v>
      </c>
      <c r="K1239" s="1">
        <v>41576</v>
      </c>
      <c r="L1239" s="1">
        <v>41676</v>
      </c>
      <c r="M1239" s="1" t="str">
        <f>IF(ISBLANK(Data[[#This Row],[EndDate]]),"Active","InActive")</f>
        <v>InActive</v>
      </c>
      <c r="N1239" t="s">
        <v>57</v>
      </c>
      <c r="O1239" t="s">
        <v>76</v>
      </c>
      <c r="P1239" t="s">
        <v>32</v>
      </c>
      <c r="Q1239" s="2">
        <v>22360</v>
      </c>
    </row>
    <row r="1240" spans="1:17" x14ac:dyDescent="0.2">
      <c r="A1240" s="1">
        <v>43435</v>
      </c>
      <c r="B1240">
        <v>92168</v>
      </c>
      <c r="C1240" t="s">
        <v>79</v>
      </c>
      <c r="D1240" t="s">
        <v>52</v>
      </c>
      <c r="E1240" t="s">
        <v>67</v>
      </c>
      <c r="F1240" s="5">
        <v>43</v>
      </c>
      <c r="G1240" t="str">
        <f>IF(Data[[#This Row],[Age]]&lt;25,"Under 25",IF(Data[[#This Row],[Age]]&lt;35,"25–34",IF(Data[[#This Row],[Age]]&lt;45,"35–44",IF(Data[[#This Row],[Age]]&lt;55,"45–54","55+"))))</f>
        <v>35–44</v>
      </c>
      <c r="H1240" t="s">
        <v>46</v>
      </c>
      <c r="I1240" t="s">
        <v>56</v>
      </c>
      <c r="J1240" t="s">
        <v>19</v>
      </c>
      <c r="K1240" s="1">
        <v>37754</v>
      </c>
      <c r="M1240" s="1" t="str">
        <f>IF(ISBLANK(Data[[#This Row],[EndDate]]),"Active","InActive")</f>
        <v>Active</v>
      </c>
      <c r="N1240" t="s">
        <v>57</v>
      </c>
      <c r="O1240" t="s">
        <v>76</v>
      </c>
      <c r="P1240" t="s">
        <v>40</v>
      </c>
      <c r="Q1240" s="2">
        <v>20769</v>
      </c>
    </row>
    <row r="1241" spans="1:17" x14ac:dyDescent="0.2">
      <c r="A1241" s="1">
        <v>43070</v>
      </c>
      <c r="B1241">
        <v>31346</v>
      </c>
      <c r="C1241" t="s">
        <v>80</v>
      </c>
      <c r="D1241" t="s">
        <v>27</v>
      </c>
      <c r="E1241" t="s">
        <v>72</v>
      </c>
      <c r="F1241" s="5">
        <v>43</v>
      </c>
      <c r="G1241" t="str">
        <f>IF(Data[[#This Row],[Age]]&lt;25,"Under 25",IF(Data[[#This Row],[Age]]&lt;35,"25–34",IF(Data[[#This Row],[Age]]&lt;45,"35–44",IF(Data[[#This Row],[Age]]&lt;55,"45–54","55+"))))</f>
        <v>35–44</v>
      </c>
      <c r="H1241" t="s">
        <v>31</v>
      </c>
      <c r="I1241" t="s">
        <v>18</v>
      </c>
      <c r="J1241" t="s">
        <v>35</v>
      </c>
      <c r="K1241" s="1">
        <v>41607</v>
      </c>
      <c r="M1241" s="1" t="str">
        <f>IF(ISBLANK(Data[[#This Row],[EndDate]]),"Active","InActive")</f>
        <v>Active</v>
      </c>
      <c r="N1241" t="s">
        <v>20</v>
      </c>
      <c r="O1241" t="s">
        <v>76</v>
      </c>
      <c r="P1241" t="s">
        <v>32</v>
      </c>
      <c r="Q1241" s="2">
        <v>31089</v>
      </c>
    </row>
    <row r="1242" spans="1:17" x14ac:dyDescent="0.2">
      <c r="A1242" s="1">
        <v>42705</v>
      </c>
      <c r="B1242">
        <v>53370</v>
      </c>
      <c r="C1242" t="s">
        <v>80</v>
      </c>
      <c r="D1242" t="s">
        <v>38</v>
      </c>
      <c r="E1242" t="s">
        <v>39</v>
      </c>
      <c r="F1242" s="5">
        <v>44</v>
      </c>
      <c r="G1242" t="str">
        <f>IF(Data[[#This Row],[Age]]&lt;25,"Under 25",IF(Data[[#This Row],[Age]]&lt;35,"25–34",IF(Data[[#This Row],[Age]]&lt;45,"35–44",IF(Data[[#This Row],[Age]]&lt;55,"45–54","55+"))))</f>
        <v>35–44</v>
      </c>
      <c r="H1242" t="s">
        <v>31</v>
      </c>
      <c r="I1242" t="s">
        <v>56</v>
      </c>
      <c r="J1242" t="s">
        <v>35</v>
      </c>
      <c r="K1242" s="1">
        <v>31552</v>
      </c>
      <c r="M1242" s="1" t="str">
        <f>IF(ISBLANK(Data[[#This Row],[EndDate]]),"Active","InActive")</f>
        <v>Active</v>
      </c>
      <c r="N1242" t="s">
        <v>57</v>
      </c>
      <c r="O1242" t="s">
        <v>76</v>
      </c>
      <c r="P1242" t="s">
        <v>22</v>
      </c>
      <c r="Q1242" s="2">
        <v>13024</v>
      </c>
    </row>
    <row r="1243" spans="1:17" x14ac:dyDescent="0.2">
      <c r="A1243" s="1">
        <v>43070</v>
      </c>
      <c r="B1243">
        <v>53250</v>
      </c>
      <c r="C1243" t="s">
        <v>79</v>
      </c>
      <c r="D1243" t="s">
        <v>38</v>
      </c>
      <c r="E1243" t="s">
        <v>61</v>
      </c>
      <c r="F1243" s="5">
        <v>44</v>
      </c>
      <c r="G1243" t="str">
        <f>IF(Data[[#This Row],[Age]]&lt;25,"Under 25",IF(Data[[#This Row],[Age]]&lt;35,"25–34",IF(Data[[#This Row],[Age]]&lt;45,"35–44",IF(Data[[#This Row],[Age]]&lt;55,"45–54","55+"))))</f>
        <v>35–44</v>
      </c>
      <c r="H1243" t="s">
        <v>34</v>
      </c>
      <c r="I1243" t="s">
        <v>56</v>
      </c>
      <c r="J1243" t="s">
        <v>35</v>
      </c>
      <c r="K1243" s="1">
        <v>40302</v>
      </c>
      <c r="M1243" s="1" t="str">
        <f>IF(ISBLANK(Data[[#This Row],[EndDate]]),"Active","InActive")</f>
        <v>Active</v>
      </c>
      <c r="N1243" t="s">
        <v>57</v>
      </c>
      <c r="O1243" t="s">
        <v>76</v>
      </c>
      <c r="P1243" t="s">
        <v>32</v>
      </c>
      <c r="Q1243" s="2">
        <v>22792</v>
      </c>
    </row>
    <row r="1244" spans="1:17" x14ac:dyDescent="0.2">
      <c r="A1244" s="1">
        <v>43070</v>
      </c>
      <c r="B1244">
        <v>54048</v>
      </c>
      <c r="C1244" t="s">
        <v>80</v>
      </c>
      <c r="D1244" t="s">
        <v>27</v>
      </c>
      <c r="E1244" t="s">
        <v>28</v>
      </c>
      <c r="F1244" s="5">
        <v>44</v>
      </c>
      <c r="G1244" t="str">
        <f>IF(Data[[#This Row],[Age]]&lt;25,"Under 25",IF(Data[[#This Row],[Age]]&lt;35,"25–34",IF(Data[[#This Row],[Age]]&lt;45,"35–44",IF(Data[[#This Row],[Age]]&lt;55,"45–54","55+"))))</f>
        <v>35–44</v>
      </c>
      <c r="H1244" t="s">
        <v>49</v>
      </c>
      <c r="I1244" t="s">
        <v>56</v>
      </c>
      <c r="J1244" t="s">
        <v>26</v>
      </c>
      <c r="K1244" s="1">
        <v>38165</v>
      </c>
      <c r="M1244" s="1" t="str">
        <f>IF(ISBLANK(Data[[#This Row],[EndDate]]),"Active","InActive")</f>
        <v>Active</v>
      </c>
      <c r="N1244" t="s">
        <v>57</v>
      </c>
      <c r="O1244" t="s">
        <v>76</v>
      </c>
      <c r="P1244" t="s">
        <v>32</v>
      </c>
      <c r="Q1244" s="2">
        <v>17160</v>
      </c>
    </row>
    <row r="1245" spans="1:17" x14ac:dyDescent="0.2">
      <c r="A1245" s="1">
        <v>43435</v>
      </c>
      <c r="B1245">
        <v>53400</v>
      </c>
      <c r="C1245" t="s">
        <v>80</v>
      </c>
      <c r="D1245" t="s">
        <v>50</v>
      </c>
      <c r="E1245" t="s">
        <v>51</v>
      </c>
      <c r="F1245" s="5">
        <v>44</v>
      </c>
      <c r="G1245" t="str">
        <f>IF(Data[[#This Row],[Age]]&lt;25,"Under 25",IF(Data[[#This Row],[Age]]&lt;35,"25–34",IF(Data[[#This Row],[Age]]&lt;45,"35–44",IF(Data[[#This Row],[Age]]&lt;55,"45–54","55+"))))</f>
        <v>35–44</v>
      </c>
      <c r="H1245" t="s">
        <v>17</v>
      </c>
      <c r="I1245" t="s">
        <v>56</v>
      </c>
      <c r="J1245" t="s">
        <v>35</v>
      </c>
      <c r="K1245" s="1">
        <v>41912</v>
      </c>
      <c r="M1245" s="1" t="str">
        <f>IF(ISBLANK(Data[[#This Row],[EndDate]]),"Active","InActive")</f>
        <v>Active</v>
      </c>
      <c r="N1245" t="s">
        <v>57</v>
      </c>
      <c r="O1245" t="s">
        <v>76</v>
      </c>
      <c r="P1245" t="s">
        <v>40</v>
      </c>
      <c r="Q1245" s="2">
        <v>32032</v>
      </c>
    </row>
    <row r="1246" spans="1:17" x14ac:dyDescent="0.2">
      <c r="A1246" s="1">
        <v>43435</v>
      </c>
      <c r="B1246">
        <v>54064</v>
      </c>
      <c r="C1246" t="s">
        <v>79</v>
      </c>
      <c r="D1246" t="s">
        <v>15</v>
      </c>
      <c r="E1246" t="s">
        <v>58</v>
      </c>
      <c r="F1246" s="5">
        <v>44</v>
      </c>
      <c r="G1246" t="str">
        <f>IF(Data[[#This Row],[Age]]&lt;25,"Under 25",IF(Data[[#This Row],[Age]]&lt;35,"25–34",IF(Data[[#This Row],[Age]]&lt;45,"35–44",IF(Data[[#This Row],[Age]]&lt;55,"45–54","55+"))))</f>
        <v>35–44</v>
      </c>
      <c r="H1246" t="s">
        <v>46</v>
      </c>
      <c r="I1246" t="s">
        <v>56</v>
      </c>
      <c r="J1246" t="s">
        <v>26</v>
      </c>
      <c r="K1246" s="1">
        <v>40677</v>
      </c>
      <c r="M1246" s="1" t="str">
        <f>IF(ISBLANK(Data[[#This Row],[EndDate]]),"Active","InActive")</f>
        <v>Active</v>
      </c>
      <c r="N1246" t="s">
        <v>57</v>
      </c>
      <c r="O1246" t="s">
        <v>76</v>
      </c>
      <c r="P1246" t="s">
        <v>40</v>
      </c>
      <c r="Q1246" s="2">
        <v>30140</v>
      </c>
    </row>
    <row r="1247" spans="1:17" x14ac:dyDescent="0.2">
      <c r="A1247" s="1">
        <v>43435</v>
      </c>
      <c r="B1247">
        <v>54394</v>
      </c>
      <c r="C1247" t="s">
        <v>79</v>
      </c>
      <c r="D1247" t="s">
        <v>47</v>
      </c>
      <c r="E1247" t="s">
        <v>73</v>
      </c>
      <c r="F1247" s="5">
        <v>44</v>
      </c>
      <c r="G1247" t="str">
        <f>IF(Data[[#This Row],[Age]]&lt;25,"Under 25",IF(Data[[#This Row],[Age]]&lt;35,"25–34",IF(Data[[#This Row],[Age]]&lt;45,"35–44",IF(Data[[#This Row],[Age]]&lt;55,"45–54","55+"))))</f>
        <v>35–44</v>
      </c>
      <c r="H1247" t="s">
        <v>49</v>
      </c>
      <c r="I1247" t="s">
        <v>56</v>
      </c>
      <c r="J1247" t="s">
        <v>37</v>
      </c>
      <c r="K1247" s="1">
        <v>41814</v>
      </c>
      <c r="M1247" s="1" t="str">
        <f>IF(ISBLANK(Data[[#This Row],[EndDate]]),"Active","InActive")</f>
        <v>Active</v>
      </c>
      <c r="N1247" t="s">
        <v>57</v>
      </c>
      <c r="O1247" t="s">
        <v>76</v>
      </c>
      <c r="P1247" t="s">
        <v>40</v>
      </c>
      <c r="Q1247" s="2">
        <v>37400</v>
      </c>
    </row>
    <row r="1248" spans="1:17" x14ac:dyDescent="0.2">
      <c r="A1248" s="1">
        <v>43435</v>
      </c>
      <c r="B1248">
        <v>49580</v>
      </c>
      <c r="C1248" t="s">
        <v>80</v>
      </c>
      <c r="D1248" t="s">
        <v>50</v>
      </c>
      <c r="E1248" t="s">
        <v>63</v>
      </c>
      <c r="F1248" s="5">
        <v>44</v>
      </c>
      <c r="G1248" t="str">
        <f>IF(Data[[#This Row],[Age]]&lt;25,"Under 25",IF(Data[[#This Row],[Age]]&lt;35,"25–34",IF(Data[[#This Row],[Age]]&lt;45,"35–44",IF(Data[[#This Row],[Age]]&lt;55,"45–54","55+"))))</f>
        <v>35–44</v>
      </c>
      <c r="H1248" t="s">
        <v>46</v>
      </c>
      <c r="I1248" t="s">
        <v>18</v>
      </c>
      <c r="J1248" t="s">
        <v>26</v>
      </c>
      <c r="K1248" s="1">
        <v>41851</v>
      </c>
      <c r="M1248" s="1" t="str">
        <f>IF(ISBLANK(Data[[#This Row],[EndDate]]),"Active","InActive")</f>
        <v>Active</v>
      </c>
      <c r="N1248" t="s">
        <v>20</v>
      </c>
      <c r="O1248" t="s">
        <v>76</v>
      </c>
      <c r="P1248" t="s">
        <v>40</v>
      </c>
      <c r="Q1248" s="2">
        <v>27940</v>
      </c>
    </row>
    <row r="1249" spans="1:17" x14ac:dyDescent="0.2">
      <c r="A1249" s="1">
        <v>43070</v>
      </c>
      <c r="B1249">
        <v>20706</v>
      </c>
      <c r="C1249" t="s">
        <v>80</v>
      </c>
      <c r="D1249" t="s">
        <v>43</v>
      </c>
      <c r="E1249" t="s">
        <v>44</v>
      </c>
      <c r="F1249" s="5">
        <v>44</v>
      </c>
      <c r="G1249" t="str">
        <f>IF(Data[[#This Row],[Age]]&lt;25,"Under 25",IF(Data[[#This Row],[Age]]&lt;35,"25–34",IF(Data[[#This Row],[Age]]&lt;45,"35–44",IF(Data[[#This Row],[Age]]&lt;55,"45–54","55+"))))</f>
        <v>35–44</v>
      </c>
      <c r="H1249" t="s">
        <v>25</v>
      </c>
      <c r="I1249" t="s">
        <v>18</v>
      </c>
      <c r="J1249" t="s">
        <v>35</v>
      </c>
      <c r="K1249" s="1">
        <v>40745</v>
      </c>
      <c r="M1249" s="1" t="str">
        <f>IF(ISBLANK(Data[[#This Row],[EndDate]]),"Active","InActive")</f>
        <v>Active</v>
      </c>
      <c r="N1249" t="s">
        <v>20</v>
      </c>
      <c r="O1249" t="s">
        <v>76</v>
      </c>
      <c r="P1249" t="s">
        <v>32</v>
      </c>
      <c r="Q1249" s="2">
        <v>42064</v>
      </c>
    </row>
    <row r="1250" spans="1:17" x14ac:dyDescent="0.2">
      <c r="A1250" s="1">
        <v>43435</v>
      </c>
      <c r="B1250">
        <v>42466</v>
      </c>
      <c r="C1250" t="s">
        <v>79</v>
      </c>
      <c r="D1250" t="s">
        <v>52</v>
      </c>
      <c r="E1250" t="s">
        <v>67</v>
      </c>
      <c r="F1250" s="5">
        <v>44</v>
      </c>
      <c r="G1250" t="str">
        <f>IF(Data[[#This Row],[Age]]&lt;25,"Under 25",IF(Data[[#This Row],[Age]]&lt;35,"25–34",IF(Data[[#This Row],[Age]]&lt;45,"35–44",IF(Data[[#This Row],[Age]]&lt;55,"45–54","55+"))))</f>
        <v>35–44</v>
      </c>
      <c r="H1250" t="s">
        <v>17</v>
      </c>
      <c r="I1250" t="s">
        <v>56</v>
      </c>
      <c r="J1250" t="s">
        <v>35</v>
      </c>
      <c r="K1250" s="1">
        <v>41809</v>
      </c>
      <c r="M1250" s="1" t="str">
        <f>IF(ISBLANK(Data[[#This Row],[EndDate]]),"Active","InActive")</f>
        <v>Active</v>
      </c>
      <c r="N1250" t="s">
        <v>57</v>
      </c>
      <c r="O1250" t="s">
        <v>76</v>
      </c>
      <c r="P1250" t="s">
        <v>40</v>
      </c>
      <c r="Q1250" s="2">
        <v>28204</v>
      </c>
    </row>
    <row r="1251" spans="1:17" x14ac:dyDescent="0.2">
      <c r="A1251" s="1">
        <v>43435</v>
      </c>
      <c r="B1251">
        <v>42492</v>
      </c>
      <c r="C1251" t="s">
        <v>80</v>
      </c>
      <c r="D1251" t="s">
        <v>50</v>
      </c>
      <c r="E1251" t="s">
        <v>63</v>
      </c>
      <c r="F1251" s="5">
        <v>44</v>
      </c>
      <c r="G1251" t="str">
        <f>IF(Data[[#This Row],[Age]]&lt;25,"Under 25",IF(Data[[#This Row],[Age]]&lt;35,"25–34",IF(Data[[#This Row],[Age]]&lt;45,"35–44",IF(Data[[#This Row],[Age]]&lt;55,"45–54","55+"))))</f>
        <v>35–44</v>
      </c>
      <c r="H1251" t="s">
        <v>17</v>
      </c>
      <c r="I1251" t="s">
        <v>18</v>
      </c>
      <c r="J1251" t="s">
        <v>35</v>
      </c>
      <c r="K1251" s="1">
        <v>41796</v>
      </c>
      <c r="M1251" s="1" t="str">
        <f>IF(ISBLANK(Data[[#This Row],[EndDate]]),"Active","InActive")</f>
        <v>Active</v>
      </c>
      <c r="N1251" t="s">
        <v>20</v>
      </c>
      <c r="O1251" t="s">
        <v>76</v>
      </c>
      <c r="P1251" t="s">
        <v>40</v>
      </c>
      <c r="Q1251" s="2">
        <v>19316</v>
      </c>
    </row>
    <row r="1252" spans="1:17" x14ac:dyDescent="0.2">
      <c r="A1252" s="1">
        <v>42705</v>
      </c>
      <c r="B1252">
        <v>53176</v>
      </c>
      <c r="C1252" t="s">
        <v>79</v>
      </c>
      <c r="D1252" t="s">
        <v>43</v>
      </c>
      <c r="E1252" t="s">
        <v>44</v>
      </c>
      <c r="F1252" s="5">
        <v>44</v>
      </c>
      <c r="G1252" t="str">
        <f>IF(Data[[#This Row],[Age]]&lt;25,"Under 25",IF(Data[[#This Row],[Age]]&lt;35,"25–34",IF(Data[[#This Row],[Age]]&lt;45,"35–44",IF(Data[[#This Row],[Age]]&lt;55,"45–54","55+"))))</f>
        <v>35–44</v>
      </c>
      <c r="H1252" t="s">
        <v>17</v>
      </c>
      <c r="I1252" t="s">
        <v>56</v>
      </c>
      <c r="J1252" t="s">
        <v>37</v>
      </c>
      <c r="K1252" s="1">
        <v>33933</v>
      </c>
      <c r="M1252" s="1" t="str">
        <f>IF(ISBLANK(Data[[#This Row],[EndDate]]),"Active","InActive")</f>
        <v>Active</v>
      </c>
      <c r="N1252" t="s">
        <v>57</v>
      </c>
      <c r="O1252" t="s">
        <v>76</v>
      </c>
      <c r="P1252" t="s">
        <v>22</v>
      </c>
      <c r="Q1252" s="2">
        <v>12012</v>
      </c>
    </row>
    <row r="1253" spans="1:17" x14ac:dyDescent="0.2">
      <c r="A1253" s="1">
        <v>42705</v>
      </c>
      <c r="B1253">
        <v>54552</v>
      </c>
      <c r="C1253" t="s">
        <v>80</v>
      </c>
      <c r="D1253" t="s">
        <v>43</v>
      </c>
      <c r="E1253" t="s">
        <v>60</v>
      </c>
      <c r="F1253" s="5">
        <v>44</v>
      </c>
      <c r="G1253" t="str">
        <f>IF(Data[[#This Row],[Age]]&lt;25,"Under 25",IF(Data[[#This Row],[Age]]&lt;35,"25–34",IF(Data[[#This Row],[Age]]&lt;45,"35–44",IF(Data[[#This Row],[Age]]&lt;55,"45–54","55+"))))</f>
        <v>35–44</v>
      </c>
      <c r="H1253" t="s">
        <v>59</v>
      </c>
      <c r="I1253" t="s">
        <v>18</v>
      </c>
      <c r="J1253" t="s">
        <v>37</v>
      </c>
      <c r="K1253" s="1">
        <v>41201</v>
      </c>
      <c r="M1253" s="1" t="str">
        <f>IF(ISBLANK(Data[[#This Row],[EndDate]]),"Active","InActive")</f>
        <v>Active</v>
      </c>
      <c r="N1253" t="s">
        <v>20</v>
      </c>
      <c r="O1253" t="s">
        <v>76</v>
      </c>
      <c r="P1253" t="s">
        <v>22</v>
      </c>
      <c r="Q1253" s="2">
        <v>8624</v>
      </c>
    </row>
    <row r="1254" spans="1:17" x14ac:dyDescent="0.2">
      <c r="A1254" s="1">
        <v>42705</v>
      </c>
      <c r="B1254">
        <v>108276</v>
      </c>
      <c r="C1254" t="s">
        <v>80</v>
      </c>
      <c r="D1254" t="s">
        <v>43</v>
      </c>
      <c r="E1254" t="s">
        <v>60</v>
      </c>
      <c r="F1254" s="5">
        <v>44</v>
      </c>
      <c r="G1254" t="str">
        <f>IF(Data[[#This Row],[Age]]&lt;25,"Under 25",IF(Data[[#This Row],[Age]]&lt;35,"25–34",IF(Data[[#This Row],[Age]]&lt;45,"35–44",IF(Data[[#This Row],[Age]]&lt;55,"45–54","55+"))))</f>
        <v>35–44</v>
      </c>
      <c r="H1254" t="s">
        <v>49</v>
      </c>
      <c r="I1254" t="s">
        <v>18</v>
      </c>
      <c r="J1254" t="s">
        <v>37</v>
      </c>
      <c r="K1254" s="1">
        <v>40098</v>
      </c>
      <c r="M1254" s="1" t="str">
        <f>IF(ISBLANK(Data[[#This Row],[EndDate]]),"Active","InActive")</f>
        <v>Active</v>
      </c>
      <c r="N1254" t="s">
        <v>20</v>
      </c>
      <c r="O1254" t="s">
        <v>76</v>
      </c>
      <c r="P1254" t="s">
        <v>22</v>
      </c>
      <c r="Q1254" s="2">
        <v>43868</v>
      </c>
    </row>
    <row r="1255" spans="1:17" x14ac:dyDescent="0.2">
      <c r="A1255" s="1">
        <v>43435</v>
      </c>
      <c r="B1255">
        <v>41038</v>
      </c>
      <c r="C1255" t="s">
        <v>80</v>
      </c>
      <c r="D1255" t="s">
        <v>41</v>
      </c>
      <c r="E1255" t="s">
        <v>42</v>
      </c>
      <c r="F1255" s="5">
        <v>44</v>
      </c>
      <c r="G1255" t="str">
        <f>IF(Data[[#This Row],[Age]]&lt;25,"Under 25",IF(Data[[#This Row],[Age]]&lt;35,"25–34",IF(Data[[#This Row],[Age]]&lt;45,"35–44",IF(Data[[#This Row],[Age]]&lt;55,"45–54","55+"))))</f>
        <v>35–44</v>
      </c>
      <c r="H1255" t="s">
        <v>25</v>
      </c>
      <c r="I1255" t="s">
        <v>18</v>
      </c>
      <c r="J1255" t="s">
        <v>37</v>
      </c>
      <c r="K1255" s="1">
        <v>40984</v>
      </c>
      <c r="M1255" s="1" t="str">
        <f>IF(ISBLANK(Data[[#This Row],[EndDate]]),"Active","InActive")</f>
        <v>Active</v>
      </c>
      <c r="N1255" t="s">
        <v>20</v>
      </c>
      <c r="O1255" t="s">
        <v>76</v>
      </c>
      <c r="P1255" t="s">
        <v>40</v>
      </c>
      <c r="Q1255" s="2">
        <v>29128</v>
      </c>
    </row>
    <row r="1256" spans="1:17" x14ac:dyDescent="0.2">
      <c r="A1256" s="1">
        <v>42705</v>
      </c>
      <c r="B1256">
        <v>50312</v>
      </c>
      <c r="C1256" t="s">
        <v>79</v>
      </c>
      <c r="D1256" t="s">
        <v>43</v>
      </c>
      <c r="E1256" t="s">
        <v>60</v>
      </c>
      <c r="F1256" s="5">
        <v>44</v>
      </c>
      <c r="G1256" t="str">
        <f>IF(Data[[#This Row],[Age]]&lt;25,"Under 25",IF(Data[[#This Row],[Age]]&lt;35,"25–34",IF(Data[[#This Row],[Age]]&lt;45,"35–44",IF(Data[[#This Row],[Age]]&lt;55,"45–54","55+"))))</f>
        <v>35–44</v>
      </c>
      <c r="H1256" t="s">
        <v>31</v>
      </c>
      <c r="I1256" t="s">
        <v>56</v>
      </c>
      <c r="J1256" t="s">
        <v>37</v>
      </c>
      <c r="K1256" s="1">
        <v>41152</v>
      </c>
      <c r="M1256" s="1" t="str">
        <f>IF(ISBLANK(Data[[#This Row],[EndDate]]),"Active","InActive")</f>
        <v>Active</v>
      </c>
      <c r="N1256" t="s">
        <v>57</v>
      </c>
      <c r="O1256" t="s">
        <v>76</v>
      </c>
      <c r="P1256" t="s">
        <v>22</v>
      </c>
      <c r="Q1256" s="2">
        <v>28732</v>
      </c>
    </row>
    <row r="1257" spans="1:17" x14ac:dyDescent="0.2">
      <c r="A1257" s="1">
        <v>42705</v>
      </c>
      <c r="B1257">
        <v>51338</v>
      </c>
      <c r="C1257" t="s">
        <v>80</v>
      </c>
      <c r="D1257" t="s">
        <v>38</v>
      </c>
      <c r="E1257" t="s">
        <v>45</v>
      </c>
      <c r="F1257" s="5">
        <v>44</v>
      </c>
      <c r="G1257" t="str">
        <f>IF(Data[[#This Row],[Age]]&lt;25,"Under 25",IF(Data[[#This Row],[Age]]&lt;35,"25–34",IF(Data[[#This Row],[Age]]&lt;45,"35–44",IF(Data[[#This Row],[Age]]&lt;55,"45–54","55+"))))</f>
        <v>35–44</v>
      </c>
      <c r="H1257" t="s">
        <v>49</v>
      </c>
      <c r="I1257" t="s">
        <v>56</v>
      </c>
      <c r="J1257" t="s">
        <v>37</v>
      </c>
      <c r="K1257" s="1">
        <v>41215</v>
      </c>
      <c r="M1257" s="1" t="str">
        <f>IF(ISBLANK(Data[[#This Row],[EndDate]]),"Active","InActive")</f>
        <v>Active</v>
      </c>
      <c r="N1257" t="s">
        <v>57</v>
      </c>
      <c r="O1257" t="s">
        <v>76</v>
      </c>
      <c r="P1257" t="s">
        <v>22</v>
      </c>
      <c r="Q1257" s="2">
        <v>8712</v>
      </c>
    </row>
    <row r="1258" spans="1:17" x14ac:dyDescent="0.2">
      <c r="A1258" s="1">
        <v>43070</v>
      </c>
      <c r="B1258">
        <v>54510</v>
      </c>
      <c r="C1258" t="s">
        <v>80</v>
      </c>
      <c r="D1258" t="s">
        <v>38</v>
      </c>
      <c r="E1258" t="s">
        <v>61</v>
      </c>
      <c r="F1258" s="5">
        <v>44</v>
      </c>
      <c r="G1258" t="str">
        <f>IF(Data[[#This Row],[Age]]&lt;25,"Under 25",IF(Data[[#This Row],[Age]]&lt;35,"25–34",IF(Data[[#This Row],[Age]]&lt;45,"35–44",IF(Data[[#This Row],[Age]]&lt;55,"45–54","55+"))))</f>
        <v>35–44</v>
      </c>
      <c r="H1258" t="s">
        <v>59</v>
      </c>
      <c r="I1258" t="s">
        <v>56</v>
      </c>
      <c r="J1258" t="s">
        <v>37</v>
      </c>
      <c r="K1258" s="1">
        <v>39385</v>
      </c>
      <c r="M1258" s="1" t="str">
        <f>IF(ISBLANK(Data[[#This Row],[EndDate]]),"Active","InActive")</f>
        <v>Active</v>
      </c>
      <c r="N1258" t="s">
        <v>57</v>
      </c>
      <c r="O1258" t="s">
        <v>76</v>
      </c>
      <c r="P1258" t="s">
        <v>32</v>
      </c>
      <c r="Q1258" s="2">
        <v>38324</v>
      </c>
    </row>
    <row r="1259" spans="1:17" x14ac:dyDescent="0.2">
      <c r="A1259" s="1">
        <v>43435</v>
      </c>
      <c r="B1259">
        <v>52018</v>
      </c>
      <c r="C1259" t="s">
        <v>80</v>
      </c>
      <c r="D1259" t="s">
        <v>43</v>
      </c>
      <c r="E1259" t="s">
        <v>66</v>
      </c>
      <c r="F1259" s="5">
        <v>44</v>
      </c>
      <c r="G1259" t="str">
        <f>IF(Data[[#This Row],[Age]]&lt;25,"Under 25",IF(Data[[#This Row],[Age]]&lt;35,"25–34",IF(Data[[#This Row],[Age]]&lt;45,"35–44",IF(Data[[#This Row],[Age]]&lt;55,"45–54","55+"))))</f>
        <v>35–44</v>
      </c>
      <c r="H1259" t="s">
        <v>25</v>
      </c>
      <c r="I1259" t="s">
        <v>56</v>
      </c>
      <c r="J1259" t="s">
        <v>37</v>
      </c>
      <c r="K1259" s="1">
        <v>40918</v>
      </c>
      <c r="M1259" s="1" t="str">
        <f>IF(ISBLANK(Data[[#This Row],[EndDate]]),"Active","InActive")</f>
        <v>Active</v>
      </c>
      <c r="N1259" t="s">
        <v>57</v>
      </c>
      <c r="O1259" t="s">
        <v>76</v>
      </c>
      <c r="P1259" t="s">
        <v>40</v>
      </c>
      <c r="Q1259" s="2">
        <v>7216</v>
      </c>
    </row>
    <row r="1260" spans="1:17" x14ac:dyDescent="0.2">
      <c r="A1260" s="1">
        <v>43435</v>
      </c>
      <c r="B1260">
        <v>52238</v>
      </c>
      <c r="C1260" t="s">
        <v>80</v>
      </c>
      <c r="D1260" t="s">
        <v>52</v>
      </c>
      <c r="E1260" t="s">
        <v>67</v>
      </c>
      <c r="F1260" s="5">
        <v>44</v>
      </c>
      <c r="G1260" t="str">
        <f>IF(Data[[#This Row],[Age]]&lt;25,"Under 25",IF(Data[[#This Row],[Age]]&lt;35,"25–34",IF(Data[[#This Row],[Age]]&lt;45,"35–44",IF(Data[[#This Row],[Age]]&lt;55,"45–54","55+"))))</f>
        <v>35–44</v>
      </c>
      <c r="H1260" t="s">
        <v>34</v>
      </c>
      <c r="I1260" t="s">
        <v>18</v>
      </c>
      <c r="J1260" t="s">
        <v>37</v>
      </c>
      <c r="K1260" s="1">
        <v>38546</v>
      </c>
      <c r="M1260" s="1" t="str">
        <f>IF(ISBLANK(Data[[#This Row],[EndDate]]),"Active","InActive")</f>
        <v>Active</v>
      </c>
      <c r="N1260" t="s">
        <v>20</v>
      </c>
      <c r="O1260" t="s">
        <v>76</v>
      </c>
      <c r="P1260" t="s">
        <v>40</v>
      </c>
      <c r="Q1260" s="2">
        <v>43340</v>
      </c>
    </row>
    <row r="1261" spans="1:17" x14ac:dyDescent="0.2">
      <c r="A1261" s="1">
        <v>43435</v>
      </c>
      <c r="B1261">
        <v>54726</v>
      </c>
      <c r="C1261" t="s">
        <v>80</v>
      </c>
      <c r="D1261" t="s">
        <v>41</v>
      </c>
      <c r="E1261" t="s">
        <v>42</v>
      </c>
      <c r="F1261" s="5">
        <v>44</v>
      </c>
      <c r="G1261" t="str">
        <f>IF(Data[[#This Row],[Age]]&lt;25,"Under 25",IF(Data[[#This Row],[Age]]&lt;35,"25–34",IF(Data[[#This Row],[Age]]&lt;45,"35–44",IF(Data[[#This Row],[Age]]&lt;55,"45–54","55+"))))</f>
        <v>35–44</v>
      </c>
      <c r="H1261" t="s">
        <v>59</v>
      </c>
      <c r="I1261" t="s">
        <v>18</v>
      </c>
      <c r="J1261" t="s">
        <v>37</v>
      </c>
      <c r="K1261" s="1">
        <v>41941</v>
      </c>
      <c r="M1261" s="1" t="str">
        <f>IF(ISBLANK(Data[[#This Row],[EndDate]]),"Active","InActive")</f>
        <v>Active</v>
      </c>
      <c r="N1261" t="s">
        <v>20</v>
      </c>
      <c r="O1261" t="s">
        <v>76</v>
      </c>
      <c r="P1261" t="s">
        <v>40</v>
      </c>
      <c r="Q1261" s="2">
        <v>36256</v>
      </c>
    </row>
    <row r="1262" spans="1:17" x14ac:dyDescent="0.2">
      <c r="A1262" s="1">
        <v>42705</v>
      </c>
      <c r="B1262">
        <v>52926</v>
      </c>
      <c r="C1262" t="s">
        <v>79</v>
      </c>
      <c r="D1262" t="s">
        <v>15</v>
      </c>
      <c r="E1262" t="s">
        <v>16</v>
      </c>
      <c r="F1262" s="5">
        <v>44</v>
      </c>
      <c r="G1262" t="str">
        <f>IF(Data[[#This Row],[Age]]&lt;25,"Under 25",IF(Data[[#This Row],[Age]]&lt;35,"25–34",IF(Data[[#This Row],[Age]]&lt;45,"35–44",IF(Data[[#This Row],[Age]]&lt;55,"45–54","55+"))))</f>
        <v>35–44</v>
      </c>
      <c r="H1262" t="s">
        <v>49</v>
      </c>
      <c r="I1262" t="s">
        <v>18</v>
      </c>
      <c r="J1262" t="s">
        <v>37</v>
      </c>
      <c r="K1262" s="1">
        <v>32274</v>
      </c>
      <c r="M1262" s="1" t="str">
        <f>IF(ISBLANK(Data[[#This Row],[EndDate]]),"Active","InActive")</f>
        <v>Active</v>
      </c>
      <c r="N1262" t="s">
        <v>20</v>
      </c>
      <c r="O1262" t="s">
        <v>76</v>
      </c>
      <c r="P1262" t="s">
        <v>22</v>
      </c>
      <c r="Q1262" s="2">
        <v>40260</v>
      </c>
    </row>
    <row r="1263" spans="1:17" x14ac:dyDescent="0.2">
      <c r="A1263" s="1">
        <v>42705</v>
      </c>
      <c r="B1263">
        <v>52984</v>
      </c>
      <c r="C1263" t="s">
        <v>80</v>
      </c>
      <c r="D1263" t="s">
        <v>47</v>
      </c>
      <c r="E1263" t="s">
        <v>48</v>
      </c>
      <c r="F1263" s="5">
        <v>44</v>
      </c>
      <c r="G1263" t="str">
        <f>IF(Data[[#This Row],[Age]]&lt;25,"Under 25",IF(Data[[#This Row],[Age]]&lt;35,"25–34",IF(Data[[#This Row],[Age]]&lt;45,"35–44",IF(Data[[#This Row],[Age]]&lt;55,"45–54","55+"))))</f>
        <v>35–44</v>
      </c>
      <c r="H1263" t="s">
        <v>49</v>
      </c>
      <c r="I1263" t="s">
        <v>56</v>
      </c>
      <c r="J1263" t="s">
        <v>37</v>
      </c>
      <c r="K1263" s="1">
        <v>32457</v>
      </c>
      <c r="L1263" s="1">
        <v>32517</v>
      </c>
      <c r="M1263" s="1" t="str">
        <f>IF(ISBLANK(Data[[#This Row],[EndDate]]),"Active","InActive")</f>
        <v>InActive</v>
      </c>
      <c r="N1263" t="s">
        <v>57</v>
      </c>
      <c r="O1263" t="s">
        <v>76</v>
      </c>
      <c r="P1263" t="s">
        <v>22</v>
      </c>
      <c r="Q1263" s="2">
        <v>37752</v>
      </c>
    </row>
    <row r="1264" spans="1:17" x14ac:dyDescent="0.2">
      <c r="A1264" s="1">
        <v>43435</v>
      </c>
      <c r="B1264">
        <v>43490</v>
      </c>
      <c r="C1264" t="s">
        <v>80</v>
      </c>
      <c r="D1264" t="s">
        <v>50</v>
      </c>
      <c r="E1264" t="s">
        <v>55</v>
      </c>
      <c r="F1264" s="5">
        <v>44</v>
      </c>
      <c r="G1264" t="str">
        <f>IF(Data[[#This Row],[Age]]&lt;25,"Under 25",IF(Data[[#This Row],[Age]]&lt;35,"25–34",IF(Data[[#This Row],[Age]]&lt;45,"35–44",IF(Data[[#This Row],[Age]]&lt;55,"45–54","55+"))))</f>
        <v>35–44</v>
      </c>
      <c r="H1264" t="s">
        <v>49</v>
      </c>
      <c r="I1264" t="s">
        <v>18</v>
      </c>
      <c r="J1264" t="s">
        <v>37</v>
      </c>
      <c r="K1264" s="1">
        <v>41957</v>
      </c>
      <c r="M1264" s="1" t="str">
        <f>IF(ISBLANK(Data[[#This Row],[EndDate]]),"Active","InActive")</f>
        <v>Active</v>
      </c>
      <c r="N1264" t="s">
        <v>20</v>
      </c>
      <c r="O1264" t="s">
        <v>76</v>
      </c>
      <c r="P1264" t="s">
        <v>40</v>
      </c>
      <c r="Q1264" s="2">
        <v>15004</v>
      </c>
    </row>
    <row r="1265" spans="1:17" x14ac:dyDescent="0.2">
      <c r="A1265" s="1">
        <v>42705</v>
      </c>
      <c r="B1265">
        <v>55734</v>
      </c>
      <c r="C1265" t="s">
        <v>80</v>
      </c>
      <c r="D1265" t="s">
        <v>23</v>
      </c>
      <c r="E1265" t="s">
        <v>71</v>
      </c>
      <c r="F1265" s="5">
        <v>44</v>
      </c>
      <c r="G1265" t="str">
        <f>IF(Data[[#This Row],[Age]]&lt;25,"Under 25",IF(Data[[#This Row],[Age]]&lt;35,"25–34",IF(Data[[#This Row],[Age]]&lt;45,"35–44",IF(Data[[#This Row],[Age]]&lt;55,"45–54","55+"))))</f>
        <v>35–44</v>
      </c>
      <c r="H1265" t="s">
        <v>25</v>
      </c>
      <c r="I1265" t="s">
        <v>18</v>
      </c>
      <c r="J1265" t="s">
        <v>35</v>
      </c>
      <c r="K1265" s="1">
        <v>39568</v>
      </c>
      <c r="M1265" s="1" t="str">
        <f>IF(ISBLANK(Data[[#This Row],[EndDate]]),"Active","InActive")</f>
        <v>Active</v>
      </c>
      <c r="N1265" t="s">
        <v>20</v>
      </c>
      <c r="O1265" t="s">
        <v>76</v>
      </c>
      <c r="P1265" t="s">
        <v>22</v>
      </c>
      <c r="Q1265" s="2">
        <v>21120</v>
      </c>
    </row>
    <row r="1266" spans="1:17" x14ac:dyDescent="0.2">
      <c r="A1266" s="1">
        <v>43435</v>
      </c>
      <c r="B1266">
        <v>50306</v>
      </c>
      <c r="C1266" t="s">
        <v>79</v>
      </c>
      <c r="D1266" t="s">
        <v>41</v>
      </c>
      <c r="E1266" t="s">
        <v>62</v>
      </c>
      <c r="F1266" s="5">
        <v>44</v>
      </c>
      <c r="G1266" t="str">
        <f>IF(Data[[#This Row],[Age]]&lt;25,"Under 25",IF(Data[[#This Row],[Age]]&lt;35,"25–34",IF(Data[[#This Row],[Age]]&lt;45,"35–44",IF(Data[[#This Row],[Age]]&lt;55,"45–54","55+"))))</f>
        <v>35–44</v>
      </c>
      <c r="H1266" t="s">
        <v>59</v>
      </c>
      <c r="I1266" t="s">
        <v>56</v>
      </c>
      <c r="J1266" t="s">
        <v>35</v>
      </c>
      <c r="K1266" s="1">
        <v>38664</v>
      </c>
      <c r="M1266" s="1" t="str">
        <f>IF(ISBLANK(Data[[#This Row],[EndDate]]),"Active","InActive")</f>
        <v>Active</v>
      </c>
      <c r="N1266" t="s">
        <v>57</v>
      </c>
      <c r="O1266" t="s">
        <v>76</v>
      </c>
      <c r="P1266" t="s">
        <v>40</v>
      </c>
      <c r="Q1266" s="2">
        <v>24772</v>
      </c>
    </row>
    <row r="1267" spans="1:17" x14ac:dyDescent="0.2">
      <c r="A1267" s="1">
        <v>42705</v>
      </c>
      <c r="B1267">
        <v>96442</v>
      </c>
      <c r="C1267" t="s">
        <v>80</v>
      </c>
      <c r="D1267" t="s">
        <v>43</v>
      </c>
      <c r="E1267" t="s">
        <v>44</v>
      </c>
      <c r="F1267" s="5">
        <v>44</v>
      </c>
      <c r="G1267" t="str">
        <f>IF(Data[[#This Row],[Age]]&lt;25,"Under 25",IF(Data[[#This Row],[Age]]&lt;35,"25–34",IF(Data[[#This Row],[Age]]&lt;45,"35–44",IF(Data[[#This Row],[Age]]&lt;55,"45–54","55+"))))</f>
        <v>35–44</v>
      </c>
      <c r="H1267" t="s">
        <v>59</v>
      </c>
      <c r="I1267" t="s">
        <v>56</v>
      </c>
      <c r="J1267" t="s">
        <v>19</v>
      </c>
      <c r="K1267" s="1">
        <v>38615</v>
      </c>
      <c r="M1267" s="1" t="str">
        <f>IF(ISBLANK(Data[[#This Row],[EndDate]]),"Active","InActive")</f>
        <v>Active</v>
      </c>
      <c r="N1267" t="s">
        <v>57</v>
      </c>
      <c r="O1267" t="s">
        <v>76</v>
      </c>
      <c r="P1267" t="s">
        <v>22</v>
      </c>
      <c r="Q1267" s="2">
        <v>40568</v>
      </c>
    </row>
    <row r="1268" spans="1:17" x14ac:dyDescent="0.2">
      <c r="A1268" s="1">
        <v>42705</v>
      </c>
      <c r="B1268">
        <v>92332</v>
      </c>
      <c r="C1268" t="s">
        <v>79</v>
      </c>
      <c r="D1268" t="s">
        <v>50</v>
      </c>
      <c r="E1268" t="s">
        <v>51</v>
      </c>
      <c r="F1268" s="5">
        <v>44</v>
      </c>
      <c r="G1268" t="str">
        <f>IF(Data[[#This Row],[Age]]&lt;25,"Under 25",IF(Data[[#This Row],[Age]]&lt;35,"25–34",IF(Data[[#This Row],[Age]]&lt;45,"35–44",IF(Data[[#This Row],[Age]]&lt;55,"45–54","55+"))))</f>
        <v>35–44</v>
      </c>
      <c r="H1268" t="s">
        <v>17</v>
      </c>
      <c r="I1268" t="s">
        <v>56</v>
      </c>
      <c r="J1268" t="s">
        <v>19</v>
      </c>
      <c r="K1268" s="1">
        <v>38769</v>
      </c>
      <c r="M1268" s="1" t="str">
        <f>IF(ISBLANK(Data[[#This Row],[EndDate]]),"Active","InActive")</f>
        <v>Active</v>
      </c>
      <c r="N1268" t="s">
        <v>57</v>
      </c>
      <c r="O1268" t="s">
        <v>76</v>
      </c>
      <c r="P1268" t="s">
        <v>22</v>
      </c>
      <c r="Q1268" s="2">
        <v>26620</v>
      </c>
    </row>
    <row r="1269" spans="1:17" x14ac:dyDescent="0.2">
      <c r="A1269" s="1">
        <v>43435</v>
      </c>
      <c r="B1269">
        <v>92290</v>
      </c>
      <c r="C1269" t="s">
        <v>79</v>
      </c>
      <c r="D1269" t="s">
        <v>41</v>
      </c>
      <c r="E1269" t="s">
        <v>68</v>
      </c>
      <c r="F1269" s="5">
        <v>44</v>
      </c>
      <c r="G1269" t="str">
        <f>IF(Data[[#This Row],[Age]]&lt;25,"Under 25",IF(Data[[#This Row],[Age]]&lt;35,"25–34",IF(Data[[#This Row],[Age]]&lt;45,"35–44",IF(Data[[#This Row],[Age]]&lt;55,"45–54","55+"))))</f>
        <v>35–44</v>
      </c>
      <c r="H1269" t="s">
        <v>25</v>
      </c>
      <c r="I1269" t="s">
        <v>56</v>
      </c>
      <c r="J1269" t="s">
        <v>19</v>
      </c>
      <c r="K1269" s="1">
        <v>41576</v>
      </c>
      <c r="M1269" s="1" t="str">
        <f>IF(ISBLANK(Data[[#This Row],[EndDate]]),"Active","InActive")</f>
        <v>Active</v>
      </c>
      <c r="N1269" t="s">
        <v>57</v>
      </c>
      <c r="O1269" t="s">
        <v>76</v>
      </c>
      <c r="P1269" t="s">
        <v>40</v>
      </c>
      <c r="Q1269" s="2">
        <v>28248</v>
      </c>
    </row>
    <row r="1270" spans="1:17" x14ac:dyDescent="0.2">
      <c r="A1270" s="1">
        <v>43070</v>
      </c>
      <c r="B1270">
        <v>53370</v>
      </c>
      <c r="C1270" t="s">
        <v>80</v>
      </c>
      <c r="D1270" t="s">
        <v>38</v>
      </c>
      <c r="E1270" t="s">
        <v>39</v>
      </c>
      <c r="F1270" s="5">
        <v>45</v>
      </c>
      <c r="G1270" t="str">
        <f>IF(Data[[#This Row],[Age]]&lt;25,"Under 25",IF(Data[[#This Row],[Age]]&lt;35,"25–34",IF(Data[[#This Row],[Age]]&lt;45,"35–44",IF(Data[[#This Row],[Age]]&lt;55,"45–54","55+"))))</f>
        <v>45–54</v>
      </c>
      <c r="H1270" t="s">
        <v>31</v>
      </c>
      <c r="I1270" t="s">
        <v>56</v>
      </c>
      <c r="J1270" t="s">
        <v>35</v>
      </c>
      <c r="K1270" s="1">
        <v>31552</v>
      </c>
      <c r="M1270" s="1" t="str">
        <f>IF(ISBLANK(Data[[#This Row],[EndDate]]),"Active","InActive")</f>
        <v>Active</v>
      </c>
      <c r="N1270" t="s">
        <v>57</v>
      </c>
      <c r="O1270" t="s">
        <v>76</v>
      </c>
      <c r="P1270" t="s">
        <v>32</v>
      </c>
      <c r="Q1270" s="2">
        <v>38970</v>
      </c>
    </row>
    <row r="1271" spans="1:17" x14ac:dyDescent="0.2">
      <c r="A1271" s="1">
        <v>43070</v>
      </c>
      <c r="B1271">
        <v>53838</v>
      </c>
      <c r="C1271" t="s">
        <v>80</v>
      </c>
      <c r="D1271" t="s">
        <v>29</v>
      </c>
      <c r="E1271" t="s">
        <v>30</v>
      </c>
      <c r="F1271" s="5">
        <v>45</v>
      </c>
      <c r="G1271" t="str">
        <f>IF(Data[[#This Row],[Age]]&lt;25,"Under 25",IF(Data[[#This Row],[Age]]&lt;35,"25–34",IF(Data[[#This Row],[Age]]&lt;45,"35–44",IF(Data[[#This Row],[Age]]&lt;55,"45–54","55+"))))</f>
        <v>45–54</v>
      </c>
      <c r="H1271" t="s">
        <v>49</v>
      </c>
      <c r="I1271" t="s">
        <v>56</v>
      </c>
      <c r="J1271" t="s">
        <v>26</v>
      </c>
      <c r="K1271" s="1">
        <v>41606</v>
      </c>
      <c r="M1271" s="1" t="str">
        <f>IF(ISBLANK(Data[[#This Row],[EndDate]]),"Active","InActive")</f>
        <v>Active</v>
      </c>
      <c r="N1271" t="s">
        <v>57</v>
      </c>
      <c r="O1271" t="s">
        <v>76</v>
      </c>
      <c r="P1271" t="s">
        <v>32</v>
      </c>
      <c r="Q1271" s="2">
        <v>6885</v>
      </c>
    </row>
    <row r="1272" spans="1:17" x14ac:dyDescent="0.2">
      <c r="A1272" s="1">
        <v>43435</v>
      </c>
      <c r="B1272">
        <v>53250</v>
      </c>
      <c r="C1272" t="s">
        <v>79</v>
      </c>
      <c r="D1272" t="s">
        <v>38</v>
      </c>
      <c r="E1272" t="s">
        <v>61</v>
      </c>
      <c r="F1272" s="5">
        <v>45</v>
      </c>
      <c r="G1272" t="str">
        <f>IF(Data[[#This Row],[Age]]&lt;25,"Under 25",IF(Data[[#This Row],[Age]]&lt;35,"25–34",IF(Data[[#This Row],[Age]]&lt;45,"35–44",IF(Data[[#This Row],[Age]]&lt;55,"45–54","55+"))))</f>
        <v>45–54</v>
      </c>
      <c r="H1272" t="s">
        <v>34</v>
      </c>
      <c r="I1272" t="s">
        <v>56</v>
      </c>
      <c r="J1272" t="s">
        <v>35</v>
      </c>
      <c r="K1272" s="1">
        <v>40302</v>
      </c>
      <c r="M1272" s="1" t="str">
        <f>IF(ISBLANK(Data[[#This Row],[EndDate]]),"Active","InActive")</f>
        <v>Active</v>
      </c>
      <c r="N1272" t="s">
        <v>57</v>
      </c>
      <c r="O1272" t="s">
        <v>76</v>
      </c>
      <c r="P1272" t="s">
        <v>40</v>
      </c>
      <c r="Q1272" s="2">
        <v>11250</v>
      </c>
    </row>
    <row r="1273" spans="1:17" x14ac:dyDescent="0.2">
      <c r="A1273" s="1">
        <v>43435</v>
      </c>
      <c r="B1273">
        <v>54048</v>
      </c>
      <c r="C1273" t="s">
        <v>80</v>
      </c>
      <c r="D1273" t="s">
        <v>27</v>
      </c>
      <c r="E1273" t="s">
        <v>28</v>
      </c>
      <c r="F1273" s="5">
        <v>45</v>
      </c>
      <c r="G1273" t="str">
        <f>IF(Data[[#This Row],[Age]]&lt;25,"Under 25",IF(Data[[#This Row],[Age]]&lt;35,"25–34",IF(Data[[#This Row],[Age]]&lt;45,"35–44",IF(Data[[#This Row],[Age]]&lt;55,"45–54","55+"))))</f>
        <v>45–54</v>
      </c>
      <c r="H1273" t="s">
        <v>49</v>
      </c>
      <c r="I1273" t="s">
        <v>56</v>
      </c>
      <c r="J1273" t="s">
        <v>26</v>
      </c>
      <c r="K1273" s="1">
        <v>38165</v>
      </c>
      <c r="M1273" s="1" t="str">
        <f>IF(ISBLANK(Data[[#This Row],[EndDate]]),"Active","InActive")</f>
        <v>Active</v>
      </c>
      <c r="N1273" t="s">
        <v>57</v>
      </c>
      <c r="O1273" t="s">
        <v>76</v>
      </c>
      <c r="P1273" t="s">
        <v>40</v>
      </c>
      <c r="Q1273" s="2">
        <v>26640</v>
      </c>
    </row>
    <row r="1274" spans="1:17" x14ac:dyDescent="0.2">
      <c r="A1274" s="1">
        <v>42705</v>
      </c>
      <c r="B1274">
        <v>49848</v>
      </c>
      <c r="C1274" t="s">
        <v>80</v>
      </c>
      <c r="D1274" t="s">
        <v>27</v>
      </c>
      <c r="E1274" t="s">
        <v>74</v>
      </c>
      <c r="F1274" s="5">
        <v>45</v>
      </c>
      <c r="G1274" t="str">
        <f>IF(Data[[#This Row],[Age]]&lt;25,"Under 25",IF(Data[[#This Row],[Age]]&lt;35,"25–34",IF(Data[[#This Row],[Age]]&lt;45,"35–44",IF(Data[[#This Row],[Age]]&lt;55,"45–54","55+"))))</f>
        <v>45–54</v>
      </c>
      <c r="H1274" t="s">
        <v>46</v>
      </c>
      <c r="I1274" t="s">
        <v>56</v>
      </c>
      <c r="J1274" t="s">
        <v>26</v>
      </c>
      <c r="K1274" s="1">
        <v>40983</v>
      </c>
      <c r="M1274" s="1" t="str">
        <f>IF(ISBLANK(Data[[#This Row],[EndDate]]),"Active","InActive")</f>
        <v>Active</v>
      </c>
      <c r="N1274" t="s">
        <v>57</v>
      </c>
      <c r="O1274" t="s">
        <v>76</v>
      </c>
      <c r="P1274" t="s">
        <v>22</v>
      </c>
      <c r="Q1274" s="2">
        <v>25695</v>
      </c>
    </row>
    <row r="1275" spans="1:17" x14ac:dyDescent="0.2">
      <c r="A1275" s="1">
        <v>42705</v>
      </c>
      <c r="B1275">
        <v>114258</v>
      </c>
      <c r="C1275" t="s">
        <v>80</v>
      </c>
      <c r="D1275" t="s">
        <v>27</v>
      </c>
      <c r="E1275" t="s">
        <v>28</v>
      </c>
      <c r="F1275" s="5">
        <v>45</v>
      </c>
      <c r="G1275" t="str">
        <f>IF(Data[[#This Row],[Age]]&lt;25,"Under 25",IF(Data[[#This Row],[Age]]&lt;35,"25–34",IF(Data[[#This Row],[Age]]&lt;45,"35–44",IF(Data[[#This Row],[Age]]&lt;55,"45–54","55+"))))</f>
        <v>45–54</v>
      </c>
      <c r="H1275" t="s">
        <v>46</v>
      </c>
      <c r="I1275" t="s">
        <v>56</v>
      </c>
      <c r="J1275" t="s">
        <v>35</v>
      </c>
      <c r="K1275" s="1">
        <v>39715</v>
      </c>
      <c r="M1275" s="1" t="str">
        <f>IF(ISBLANK(Data[[#This Row],[EndDate]]),"Active","InActive")</f>
        <v>Active</v>
      </c>
      <c r="N1275" t="s">
        <v>57</v>
      </c>
      <c r="O1275" t="s">
        <v>76</v>
      </c>
      <c r="P1275" t="s">
        <v>22</v>
      </c>
      <c r="Q1275" s="2">
        <v>36900</v>
      </c>
    </row>
    <row r="1276" spans="1:17" x14ac:dyDescent="0.2">
      <c r="A1276" s="1">
        <v>43070</v>
      </c>
      <c r="B1276">
        <v>53176</v>
      </c>
      <c r="C1276" t="s">
        <v>79</v>
      </c>
      <c r="D1276" t="s">
        <v>43</v>
      </c>
      <c r="E1276" t="s">
        <v>44</v>
      </c>
      <c r="F1276" s="5">
        <v>45</v>
      </c>
      <c r="G1276" t="str">
        <f>IF(Data[[#This Row],[Age]]&lt;25,"Under 25",IF(Data[[#This Row],[Age]]&lt;35,"25–34",IF(Data[[#This Row],[Age]]&lt;45,"35–44",IF(Data[[#This Row],[Age]]&lt;55,"45–54","55+"))))</f>
        <v>45–54</v>
      </c>
      <c r="H1276" t="s">
        <v>17</v>
      </c>
      <c r="I1276" t="s">
        <v>56</v>
      </c>
      <c r="J1276" t="s">
        <v>37</v>
      </c>
      <c r="K1276" s="1">
        <v>33933</v>
      </c>
      <c r="M1276" s="1" t="str">
        <f>IF(ISBLANK(Data[[#This Row],[EndDate]]),"Active","InActive")</f>
        <v>Active</v>
      </c>
      <c r="N1276" t="s">
        <v>57</v>
      </c>
      <c r="O1276" t="s">
        <v>76</v>
      </c>
      <c r="P1276" t="s">
        <v>32</v>
      </c>
      <c r="Q1276" s="2">
        <v>37935</v>
      </c>
    </row>
    <row r="1277" spans="1:17" x14ac:dyDescent="0.2">
      <c r="A1277" s="1">
        <v>43070</v>
      </c>
      <c r="B1277">
        <v>54552</v>
      </c>
      <c r="C1277" t="s">
        <v>80</v>
      </c>
      <c r="D1277" t="s">
        <v>43</v>
      </c>
      <c r="E1277" t="s">
        <v>60</v>
      </c>
      <c r="F1277" s="5">
        <v>45</v>
      </c>
      <c r="G1277" t="str">
        <f>IF(Data[[#This Row],[Age]]&lt;25,"Under 25",IF(Data[[#This Row],[Age]]&lt;35,"25–34",IF(Data[[#This Row],[Age]]&lt;45,"35–44",IF(Data[[#This Row],[Age]]&lt;55,"45–54","55+"))))</f>
        <v>45–54</v>
      </c>
      <c r="H1277" t="s">
        <v>59</v>
      </c>
      <c r="I1277" t="s">
        <v>18</v>
      </c>
      <c r="J1277" t="s">
        <v>37</v>
      </c>
      <c r="K1277" s="1">
        <v>41201</v>
      </c>
      <c r="M1277" s="1" t="str">
        <f>IF(ISBLANK(Data[[#This Row],[EndDate]]),"Active","InActive")</f>
        <v>Active</v>
      </c>
      <c r="N1277" t="s">
        <v>20</v>
      </c>
      <c r="O1277" t="s">
        <v>76</v>
      </c>
      <c r="P1277" t="s">
        <v>32</v>
      </c>
      <c r="Q1277" s="2">
        <v>5895</v>
      </c>
    </row>
    <row r="1278" spans="1:17" x14ac:dyDescent="0.2">
      <c r="A1278" s="1">
        <v>42705</v>
      </c>
      <c r="B1278">
        <v>17998</v>
      </c>
      <c r="C1278" t="s">
        <v>80</v>
      </c>
      <c r="D1278" t="s">
        <v>23</v>
      </c>
      <c r="E1278" t="s">
        <v>24</v>
      </c>
      <c r="F1278" s="5">
        <v>45</v>
      </c>
      <c r="G1278" t="str">
        <f>IF(Data[[#This Row],[Age]]&lt;25,"Under 25",IF(Data[[#This Row],[Age]]&lt;35,"25–34",IF(Data[[#This Row],[Age]]&lt;45,"35–44",IF(Data[[#This Row],[Age]]&lt;55,"45–54","55+"))))</f>
        <v>45–54</v>
      </c>
      <c r="H1278" t="s">
        <v>59</v>
      </c>
      <c r="I1278" t="s">
        <v>18</v>
      </c>
      <c r="J1278" t="s">
        <v>37</v>
      </c>
      <c r="K1278" s="1">
        <v>41154</v>
      </c>
      <c r="M1278" s="1" t="str">
        <f>IF(ISBLANK(Data[[#This Row],[EndDate]]),"Active","InActive")</f>
        <v>Active</v>
      </c>
      <c r="N1278" t="s">
        <v>20</v>
      </c>
      <c r="O1278" t="s">
        <v>76</v>
      </c>
      <c r="P1278" t="s">
        <v>22</v>
      </c>
      <c r="Q1278" s="2">
        <v>33030</v>
      </c>
    </row>
    <row r="1279" spans="1:17" x14ac:dyDescent="0.2">
      <c r="A1279" s="1">
        <v>43070</v>
      </c>
      <c r="B1279">
        <v>50312</v>
      </c>
      <c r="C1279" t="s">
        <v>79</v>
      </c>
      <c r="D1279" t="s">
        <v>43</v>
      </c>
      <c r="E1279" t="s">
        <v>60</v>
      </c>
      <c r="F1279" s="5">
        <v>45</v>
      </c>
      <c r="G1279" t="str">
        <f>IF(Data[[#This Row],[Age]]&lt;25,"Under 25",IF(Data[[#This Row],[Age]]&lt;35,"25–34",IF(Data[[#This Row],[Age]]&lt;45,"35–44",IF(Data[[#This Row],[Age]]&lt;55,"45–54","55+"))))</f>
        <v>45–54</v>
      </c>
      <c r="H1279" t="s">
        <v>31</v>
      </c>
      <c r="I1279" t="s">
        <v>56</v>
      </c>
      <c r="J1279" t="s">
        <v>37</v>
      </c>
      <c r="K1279" s="1">
        <v>41152</v>
      </c>
      <c r="M1279" s="1" t="str">
        <f>IF(ISBLANK(Data[[#This Row],[EndDate]]),"Active","InActive")</f>
        <v>Active</v>
      </c>
      <c r="N1279" t="s">
        <v>57</v>
      </c>
      <c r="O1279" t="s">
        <v>76</v>
      </c>
      <c r="P1279" t="s">
        <v>32</v>
      </c>
      <c r="Q1279" s="2">
        <v>8325</v>
      </c>
    </row>
    <row r="1280" spans="1:17" x14ac:dyDescent="0.2">
      <c r="A1280" s="1">
        <v>43070</v>
      </c>
      <c r="B1280">
        <v>51338</v>
      </c>
      <c r="C1280" t="s">
        <v>80</v>
      </c>
      <c r="D1280" t="s">
        <v>38</v>
      </c>
      <c r="E1280" t="s">
        <v>45</v>
      </c>
      <c r="F1280" s="5">
        <v>45</v>
      </c>
      <c r="G1280" t="str">
        <f>IF(Data[[#This Row],[Age]]&lt;25,"Under 25",IF(Data[[#This Row],[Age]]&lt;35,"25–34",IF(Data[[#This Row],[Age]]&lt;45,"35–44",IF(Data[[#This Row],[Age]]&lt;55,"45–54","55+"))))</f>
        <v>45–54</v>
      </c>
      <c r="H1280" t="s">
        <v>49</v>
      </c>
      <c r="I1280" t="s">
        <v>56</v>
      </c>
      <c r="J1280" t="s">
        <v>37</v>
      </c>
      <c r="K1280" s="1">
        <v>41215</v>
      </c>
      <c r="M1280" s="1" t="str">
        <f>IF(ISBLANK(Data[[#This Row],[EndDate]]),"Active","InActive")</f>
        <v>Active</v>
      </c>
      <c r="N1280" t="s">
        <v>57</v>
      </c>
      <c r="O1280" t="s">
        <v>76</v>
      </c>
      <c r="P1280" t="s">
        <v>32</v>
      </c>
      <c r="Q1280" s="2">
        <v>34695</v>
      </c>
    </row>
    <row r="1281" spans="1:17" x14ac:dyDescent="0.2">
      <c r="A1281" s="1">
        <v>43435</v>
      </c>
      <c r="B1281">
        <v>54510</v>
      </c>
      <c r="C1281" t="s">
        <v>80</v>
      </c>
      <c r="D1281" t="s">
        <v>38</v>
      </c>
      <c r="E1281" t="s">
        <v>61</v>
      </c>
      <c r="F1281" s="5">
        <v>45</v>
      </c>
      <c r="G1281" t="str">
        <f>IF(Data[[#This Row],[Age]]&lt;25,"Under 25",IF(Data[[#This Row],[Age]]&lt;35,"25–34",IF(Data[[#This Row],[Age]]&lt;45,"35–44",IF(Data[[#This Row],[Age]]&lt;55,"45–54","55+"))))</f>
        <v>45–54</v>
      </c>
      <c r="H1281" t="s">
        <v>59</v>
      </c>
      <c r="I1281" t="s">
        <v>56</v>
      </c>
      <c r="J1281" t="s">
        <v>37</v>
      </c>
      <c r="K1281" s="1">
        <v>39385</v>
      </c>
      <c r="M1281" s="1" t="str">
        <f>IF(ISBLANK(Data[[#This Row],[EndDate]]),"Active","InActive")</f>
        <v>Active</v>
      </c>
      <c r="N1281" t="s">
        <v>57</v>
      </c>
      <c r="O1281" t="s">
        <v>76</v>
      </c>
      <c r="P1281" t="s">
        <v>40</v>
      </c>
      <c r="Q1281" s="2">
        <v>4680</v>
      </c>
    </row>
    <row r="1282" spans="1:17" x14ac:dyDescent="0.2">
      <c r="A1282" s="1">
        <v>43435</v>
      </c>
      <c r="B1282">
        <v>55592</v>
      </c>
      <c r="C1282" t="s">
        <v>80</v>
      </c>
      <c r="D1282" t="s">
        <v>38</v>
      </c>
      <c r="E1282" t="s">
        <v>45</v>
      </c>
      <c r="F1282" s="5">
        <v>45</v>
      </c>
      <c r="G1282" t="str">
        <f>IF(Data[[#This Row],[Age]]&lt;25,"Under 25",IF(Data[[#This Row],[Age]]&lt;35,"25–34",IF(Data[[#This Row],[Age]]&lt;45,"35–44",IF(Data[[#This Row],[Age]]&lt;55,"45–54","55+"))))</f>
        <v>45–54</v>
      </c>
      <c r="H1282" t="s">
        <v>49</v>
      </c>
      <c r="I1282" t="s">
        <v>18</v>
      </c>
      <c r="J1282" t="s">
        <v>37</v>
      </c>
      <c r="K1282" s="1">
        <v>41950</v>
      </c>
      <c r="M1282" s="1" t="str">
        <f>IF(ISBLANK(Data[[#This Row],[EndDate]]),"Active","InActive")</f>
        <v>Active</v>
      </c>
      <c r="N1282" t="s">
        <v>20</v>
      </c>
      <c r="O1282" t="s">
        <v>76</v>
      </c>
      <c r="P1282" t="s">
        <v>40</v>
      </c>
      <c r="Q1282" s="2">
        <v>13545</v>
      </c>
    </row>
    <row r="1283" spans="1:17" x14ac:dyDescent="0.2">
      <c r="A1283" s="1">
        <v>42705</v>
      </c>
      <c r="B1283">
        <v>40542</v>
      </c>
      <c r="C1283" t="s">
        <v>80</v>
      </c>
      <c r="D1283" t="s">
        <v>15</v>
      </c>
      <c r="E1283" t="s">
        <v>58</v>
      </c>
      <c r="F1283" s="5">
        <v>45</v>
      </c>
      <c r="G1283" t="str">
        <f>IF(Data[[#This Row],[Age]]&lt;25,"Under 25",IF(Data[[#This Row],[Age]]&lt;35,"25–34",IF(Data[[#This Row],[Age]]&lt;45,"35–44",IF(Data[[#This Row],[Age]]&lt;55,"45–54","55+"))))</f>
        <v>45–54</v>
      </c>
      <c r="H1283" t="s">
        <v>31</v>
      </c>
      <c r="I1283" t="s">
        <v>18</v>
      </c>
      <c r="J1283" t="s">
        <v>37</v>
      </c>
      <c r="K1283" s="1">
        <v>38524</v>
      </c>
      <c r="M1283" s="1" t="str">
        <f>IF(ISBLANK(Data[[#This Row],[EndDate]]),"Active","InActive")</f>
        <v>Active</v>
      </c>
      <c r="N1283" t="s">
        <v>20</v>
      </c>
      <c r="O1283" t="s">
        <v>76</v>
      </c>
      <c r="P1283" t="s">
        <v>22</v>
      </c>
      <c r="Q1283" s="2">
        <v>32895</v>
      </c>
    </row>
    <row r="1284" spans="1:17" x14ac:dyDescent="0.2">
      <c r="A1284" s="1">
        <v>43435</v>
      </c>
      <c r="B1284">
        <v>43496</v>
      </c>
      <c r="C1284" t="s">
        <v>80</v>
      </c>
      <c r="D1284" t="s">
        <v>23</v>
      </c>
      <c r="E1284" t="s">
        <v>65</v>
      </c>
      <c r="F1284" s="5">
        <v>45</v>
      </c>
      <c r="G1284" t="str">
        <f>IF(Data[[#This Row],[Age]]&lt;25,"Under 25",IF(Data[[#This Row],[Age]]&lt;35,"25–34",IF(Data[[#This Row],[Age]]&lt;45,"35–44",IF(Data[[#This Row],[Age]]&lt;55,"45–54","55+"))))</f>
        <v>45–54</v>
      </c>
      <c r="H1284" t="s">
        <v>59</v>
      </c>
      <c r="I1284" t="s">
        <v>18</v>
      </c>
      <c r="J1284" t="s">
        <v>37</v>
      </c>
      <c r="K1284" s="1">
        <v>41879</v>
      </c>
      <c r="M1284" s="1" t="str">
        <f>IF(ISBLANK(Data[[#This Row],[EndDate]]),"Active","InActive")</f>
        <v>Active</v>
      </c>
      <c r="N1284" t="s">
        <v>20</v>
      </c>
      <c r="O1284" t="s">
        <v>76</v>
      </c>
      <c r="P1284" t="s">
        <v>40</v>
      </c>
      <c r="Q1284" s="2">
        <v>43470</v>
      </c>
    </row>
    <row r="1285" spans="1:17" x14ac:dyDescent="0.2">
      <c r="A1285" s="1">
        <v>43070</v>
      </c>
      <c r="B1285">
        <v>52926</v>
      </c>
      <c r="C1285" t="s">
        <v>79</v>
      </c>
      <c r="D1285" t="s">
        <v>15</v>
      </c>
      <c r="E1285" t="s">
        <v>16</v>
      </c>
      <c r="F1285" s="5">
        <v>45</v>
      </c>
      <c r="G1285" t="str">
        <f>IF(Data[[#This Row],[Age]]&lt;25,"Under 25",IF(Data[[#This Row],[Age]]&lt;35,"25–34",IF(Data[[#This Row],[Age]]&lt;45,"35–44",IF(Data[[#This Row],[Age]]&lt;55,"45–54","55+"))))</f>
        <v>45–54</v>
      </c>
      <c r="H1285" t="s">
        <v>49</v>
      </c>
      <c r="I1285" t="s">
        <v>18</v>
      </c>
      <c r="J1285" t="s">
        <v>37</v>
      </c>
      <c r="K1285" s="1">
        <v>32274</v>
      </c>
      <c r="M1285" s="1" t="str">
        <f>IF(ISBLANK(Data[[#This Row],[EndDate]]),"Active","InActive")</f>
        <v>Active</v>
      </c>
      <c r="N1285" t="s">
        <v>20</v>
      </c>
      <c r="O1285" t="s">
        <v>76</v>
      </c>
      <c r="P1285" t="s">
        <v>32</v>
      </c>
      <c r="Q1285" s="2">
        <v>21015</v>
      </c>
    </row>
    <row r="1286" spans="1:17" x14ac:dyDescent="0.2">
      <c r="A1286" s="1">
        <v>43070</v>
      </c>
      <c r="B1286">
        <v>52984</v>
      </c>
      <c r="C1286" t="s">
        <v>80</v>
      </c>
      <c r="D1286" t="s">
        <v>47</v>
      </c>
      <c r="E1286" t="s">
        <v>48</v>
      </c>
      <c r="F1286" s="5">
        <v>45</v>
      </c>
      <c r="G1286" t="str">
        <f>IF(Data[[#This Row],[Age]]&lt;25,"Under 25",IF(Data[[#This Row],[Age]]&lt;35,"25–34",IF(Data[[#This Row],[Age]]&lt;45,"35–44",IF(Data[[#This Row],[Age]]&lt;55,"45–54","55+"))))</f>
        <v>45–54</v>
      </c>
      <c r="H1286" t="s">
        <v>49</v>
      </c>
      <c r="I1286" t="s">
        <v>56</v>
      </c>
      <c r="J1286" t="s">
        <v>37</v>
      </c>
      <c r="K1286" s="1">
        <v>32457</v>
      </c>
      <c r="M1286" s="1" t="str">
        <f>IF(ISBLANK(Data[[#This Row],[EndDate]]),"Active","InActive")</f>
        <v>Active</v>
      </c>
      <c r="N1286" t="s">
        <v>57</v>
      </c>
      <c r="O1286" t="s">
        <v>76</v>
      </c>
      <c r="P1286" t="s">
        <v>32</v>
      </c>
      <c r="Q1286" s="2">
        <v>38205</v>
      </c>
    </row>
    <row r="1287" spans="1:17" x14ac:dyDescent="0.2">
      <c r="A1287" s="1">
        <v>43070</v>
      </c>
      <c r="B1287">
        <v>28380</v>
      </c>
      <c r="C1287" t="s">
        <v>79</v>
      </c>
      <c r="D1287" t="s">
        <v>38</v>
      </c>
      <c r="E1287" t="s">
        <v>39</v>
      </c>
      <c r="F1287" s="5">
        <v>45</v>
      </c>
      <c r="G1287" t="str">
        <f>IF(Data[[#This Row],[Age]]&lt;25,"Under 25",IF(Data[[#This Row],[Age]]&lt;35,"25–34",IF(Data[[#This Row],[Age]]&lt;45,"35–44",IF(Data[[#This Row],[Age]]&lt;55,"45–54","55+"))))</f>
        <v>45–54</v>
      </c>
      <c r="H1287" t="s">
        <v>25</v>
      </c>
      <c r="I1287" t="s">
        <v>18</v>
      </c>
      <c r="J1287" t="s">
        <v>35</v>
      </c>
      <c r="K1287" s="1">
        <v>41403</v>
      </c>
      <c r="M1287" s="1" t="str">
        <f>IF(ISBLANK(Data[[#This Row],[EndDate]]),"Active","InActive")</f>
        <v>Active</v>
      </c>
      <c r="N1287" t="s">
        <v>20</v>
      </c>
      <c r="O1287" t="s">
        <v>76</v>
      </c>
      <c r="P1287" t="s">
        <v>32</v>
      </c>
      <c r="Q1287" s="2">
        <v>6075</v>
      </c>
    </row>
    <row r="1288" spans="1:17" x14ac:dyDescent="0.2">
      <c r="A1288" s="1">
        <v>43070</v>
      </c>
      <c r="B1288">
        <v>55734</v>
      </c>
      <c r="C1288" t="s">
        <v>80</v>
      </c>
      <c r="D1288" t="s">
        <v>23</v>
      </c>
      <c r="E1288" t="s">
        <v>71</v>
      </c>
      <c r="F1288" s="5">
        <v>45</v>
      </c>
      <c r="G1288" t="str">
        <f>IF(Data[[#This Row],[Age]]&lt;25,"Under 25",IF(Data[[#This Row],[Age]]&lt;35,"25–34",IF(Data[[#This Row],[Age]]&lt;45,"35–44",IF(Data[[#This Row],[Age]]&lt;55,"45–54","55+"))))</f>
        <v>45–54</v>
      </c>
      <c r="H1288" t="s">
        <v>25</v>
      </c>
      <c r="I1288" t="s">
        <v>18</v>
      </c>
      <c r="J1288" t="s">
        <v>35</v>
      </c>
      <c r="K1288" s="1">
        <v>39568</v>
      </c>
      <c r="L1288" s="1">
        <v>39668</v>
      </c>
      <c r="M1288" s="1" t="str">
        <f>IF(ISBLANK(Data[[#This Row],[EndDate]]),"Active","InActive")</f>
        <v>InActive</v>
      </c>
      <c r="N1288" t="s">
        <v>20</v>
      </c>
      <c r="O1288" t="s">
        <v>76</v>
      </c>
      <c r="P1288" t="s">
        <v>32</v>
      </c>
      <c r="Q1288" s="2">
        <v>14940</v>
      </c>
    </row>
    <row r="1289" spans="1:17" x14ac:dyDescent="0.2">
      <c r="A1289" s="1">
        <v>42705</v>
      </c>
      <c r="B1289">
        <v>92334</v>
      </c>
      <c r="C1289" t="s">
        <v>80</v>
      </c>
      <c r="D1289" t="s">
        <v>27</v>
      </c>
      <c r="E1289" t="s">
        <v>74</v>
      </c>
      <c r="F1289" s="5">
        <v>45</v>
      </c>
      <c r="G1289" t="str">
        <f>IF(Data[[#This Row],[Age]]&lt;25,"Under 25",IF(Data[[#This Row],[Age]]&lt;35,"25–34",IF(Data[[#This Row],[Age]]&lt;45,"35–44",IF(Data[[#This Row],[Age]]&lt;55,"45–54","55+"))))</f>
        <v>45–54</v>
      </c>
      <c r="H1289" t="s">
        <v>25</v>
      </c>
      <c r="I1289" t="s">
        <v>56</v>
      </c>
      <c r="J1289" t="s">
        <v>19</v>
      </c>
      <c r="K1289" s="1">
        <v>39820</v>
      </c>
      <c r="M1289" s="1" t="str">
        <f>IF(ISBLANK(Data[[#This Row],[EndDate]]),"Active","InActive")</f>
        <v>Active</v>
      </c>
      <c r="N1289" t="s">
        <v>57</v>
      </c>
      <c r="O1289" t="s">
        <v>76</v>
      </c>
      <c r="P1289" t="s">
        <v>22</v>
      </c>
      <c r="Q1289" s="2">
        <v>30420</v>
      </c>
    </row>
    <row r="1290" spans="1:17" x14ac:dyDescent="0.2">
      <c r="A1290" s="1">
        <v>43070</v>
      </c>
      <c r="B1290">
        <v>96442</v>
      </c>
      <c r="C1290" t="s">
        <v>80</v>
      </c>
      <c r="D1290" t="s">
        <v>43</v>
      </c>
      <c r="E1290" t="s">
        <v>44</v>
      </c>
      <c r="F1290" s="5">
        <v>45</v>
      </c>
      <c r="G1290" t="str">
        <f>IF(Data[[#This Row],[Age]]&lt;25,"Under 25",IF(Data[[#This Row],[Age]]&lt;35,"25–34",IF(Data[[#This Row],[Age]]&lt;45,"35–44",IF(Data[[#This Row],[Age]]&lt;55,"45–54","55+"))))</f>
        <v>45–54</v>
      </c>
      <c r="H1290" t="s">
        <v>59</v>
      </c>
      <c r="I1290" t="s">
        <v>56</v>
      </c>
      <c r="J1290" t="s">
        <v>19</v>
      </c>
      <c r="K1290" s="1">
        <v>38615</v>
      </c>
      <c r="M1290" s="1" t="str">
        <f>IF(ISBLANK(Data[[#This Row],[EndDate]]),"Active","InActive")</f>
        <v>Active</v>
      </c>
      <c r="N1290" t="s">
        <v>57</v>
      </c>
      <c r="O1290" t="s">
        <v>76</v>
      </c>
      <c r="P1290" t="s">
        <v>32</v>
      </c>
      <c r="Q1290" s="2">
        <v>24840</v>
      </c>
    </row>
    <row r="1291" spans="1:17" x14ac:dyDescent="0.2">
      <c r="A1291" s="1">
        <v>42705</v>
      </c>
      <c r="B1291">
        <v>33288</v>
      </c>
      <c r="C1291" t="s">
        <v>79</v>
      </c>
      <c r="D1291" t="s">
        <v>50</v>
      </c>
      <c r="E1291" t="s">
        <v>63</v>
      </c>
      <c r="F1291" s="5">
        <v>45</v>
      </c>
      <c r="G1291" t="str">
        <f>IF(Data[[#This Row],[Age]]&lt;25,"Under 25",IF(Data[[#This Row],[Age]]&lt;35,"25–34",IF(Data[[#This Row],[Age]]&lt;45,"35–44",IF(Data[[#This Row],[Age]]&lt;55,"45–54","55+"))))</f>
        <v>45–54</v>
      </c>
      <c r="H1291" t="s">
        <v>17</v>
      </c>
      <c r="I1291" t="s">
        <v>56</v>
      </c>
      <c r="J1291" t="s">
        <v>19</v>
      </c>
      <c r="K1291" s="1">
        <v>39645</v>
      </c>
      <c r="M1291" s="1" t="str">
        <f>IF(ISBLANK(Data[[#This Row],[EndDate]]),"Active","InActive")</f>
        <v>Active</v>
      </c>
      <c r="N1291" t="s">
        <v>57</v>
      </c>
      <c r="O1291" t="s">
        <v>76</v>
      </c>
      <c r="P1291" t="s">
        <v>22</v>
      </c>
      <c r="Q1291" s="2">
        <v>34245</v>
      </c>
    </row>
    <row r="1292" spans="1:17" x14ac:dyDescent="0.2">
      <c r="A1292" s="1">
        <v>43070</v>
      </c>
      <c r="B1292">
        <v>92332</v>
      </c>
      <c r="C1292" t="s">
        <v>79</v>
      </c>
      <c r="D1292" t="s">
        <v>50</v>
      </c>
      <c r="E1292" t="s">
        <v>51</v>
      </c>
      <c r="F1292" s="5">
        <v>45</v>
      </c>
      <c r="G1292" t="str">
        <f>IF(Data[[#This Row],[Age]]&lt;25,"Under 25",IF(Data[[#This Row],[Age]]&lt;35,"25–34",IF(Data[[#This Row],[Age]]&lt;45,"35–44",IF(Data[[#This Row],[Age]]&lt;55,"45–54","55+"))))</f>
        <v>45–54</v>
      </c>
      <c r="H1292" t="s">
        <v>17</v>
      </c>
      <c r="I1292" t="s">
        <v>56</v>
      </c>
      <c r="J1292" t="s">
        <v>19</v>
      </c>
      <c r="K1292" s="1">
        <v>38769</v>
      </c>
      <c r="M1292" s="1" t="str">
        <f>IF(ISBLANK(Data[[#This Row],[EndDate]]),"Active","InActive")</f>
        <v>Active</v>
      </c>
      <c r="N1292" t="s">
        <v>57</v>
      </c>
      <c r="O1292" t="s">
        <v>76</v>
      </c>
      <c r="P1292" t="s">
        <v>32</v>
      </c>
      <c r="Q1292" s="2">
        <v>19485</v>
      </c>
    </row>
    <row r="1293" spans="1:17" x14ac:dyDescent="0.2">
      <c r="A1293" s="1">
        <v>43070</v>
      </c>
      <c r="B1293">
        <v>92386</v>
      </c>
      <c r="C1293" t="s">
        <v>79</v>
      </c>
      <c r="D1293" t="s">
        <v>41</v>
      </c>
      <c r="E1293" t="s">
        <v>62</v>
      </c>
      <c r="F1293" s="5">
        <v>45</v>
      </c>
      <c r="G1293" t="str">
        <f>IF(Data[[#This Row],[Age]]&lt;25,"Under 25",IF(Data[[#This Row],[Age]]&lt;35,"25–34",IF(Data[[#This Row],[Age]]&lt;45,"35–44",IF(Data[[#This Row],[Age]]&lt;55,"45–54","55+"))))</f>
        <v>45–54</v>
      </c>
      <c r="H1293" t="s">
        <v>25</v>
      </c>
      <c r="I1293" t="s">
        <v>56</v>
      </c>
      <c r="J1293" t="s">
        <v>19</v>
      </c>
      <c r="K1293" s="1">
        <v>41367</v>
      </c>
      <c r="M1293" s="1" t="str">
        <f>IF(ISBLANK(Data[[#This Row],[EndDate]]),"Active","InActive")</f>
        <v>Active</v>
      </c>
      <c r="N1293" t="s">
        <v>57</v>
      </c>
      <c r="O1293" t="s">
        <v>76</v>
      </c>
      <c r="P1293" t="s">
        <v>32</v>
      </c>
      <c r="Q1293" s="2">
        <v>13365</v>
      </c>
    </row>
    <row r="1294" spans="1:17" x14ac:dyDescent="0.2">
      <c r="A1294" s="1">
        <v>43435</v>
      </c>
      <c r="B1294">
        <v>53370</v>
      </c>
      <c r="C1294" t="s">
        <v>80</v>
      </c>
      <c r="D1294" t="s">
        <v>38</v>
      </c>
      <c r="E1294" t="s">
        <v>39</v>
      </c>
      <c r="F1294" s="5">
        <v>46</v>
      </c>
      <c r="G1294" t="str">
        <f>IF(Data[[#This Row],[Age]]&lt;25,"Under 25",IF(Data[[#This Row],[Age]]&lt;35,"25–34",IF(Data[[#This Row],[Age]]&lt;45,"35–44",IF(Data[[#This Row],[Age]]&lt;55,"45–54","55+"))))</f>
        <v>45–54</v>
      </c>
      <c r="H1294" t="s">
        <v>31</v>
      </c>
      <c r="I1294" t="s">
        <v>56</v>
      </c>
      <c r="J1294" t="s">
        <v>35</v>
      </c>
      <c r="K1294" s="1">
        <v>31552</v>
      </c>
      <c r="M1294" s="1" t="str">
        <f>IF(ISBLANK(Data[[#This Row],[EndDate]]),"Active","InActive")</f>
        <v>Active</v>
      </c>
      <c r="N1294" t="s">
        <v>57</v>
      </c>
      <c r="O1294" t="s">
        <v>76</v>
      </c>
      <c r="P1294" t="s">
        <v>40</v>
      </c>
      <c r="Q1294" s="2">
        <v>15686</v>
      </c>
    </row>
    <row r="1295" spans="1:17" x14ac:dyDescent="0.2">
      <c r="A1295" s="1">
        <v>43435</v>
      </c>
      <c r="B1295">
        <v>53404</v>
      </c>
      <c r="C1295" t="s">
        <v>79</v>
      </c>
      <c r="D1295" t="s">
        <v>29</v>
      </c>
      <c r="E1295" t="s">
        <v>33</v>
      </c>
      <c r="F1295" s="5">
        <v>46</v>
      </c>
      <c r="G1295" t="str">
        <f>IF(Data[[#This Row],[Age]]&lt;25,"Under 25",IF(Data[[#This Row],[Age]]&lt;35,"25–34",IF(Data[[#This Row],[Age]]&lt;45,"35–44",IF(Data[[#This Row],[Age]]&lt;55,"45–54","55+"))))</f>
        <v>45–54</v>
      </c>
      <c r="H1295" t="s">
        <v>31</v>
      </c>
      <c r="I1295" t="s">
        <v>56</v>
      </c>
      <c r="J1295" t="s">
        <v>35</v>
      </c>
      <c r="K1295" s="1">
        <v>41877</v>
      </c>
      <c r="M1295" s="1" t="str">
        <f>IF(ISBLANK(Data[[#This Row],[EndDate]]),"Active","InActive")</f>
        <v>Active</v>
      </c>
      <c r="N1295" t="s">
        <v>57</v>
      </c>
      <c r="O1295" t="s">
        <v>76</v>
      </c>
      <c r="P1295" t="s">
        <v>40</v>
      </c>
      <c r="Q1295" s="2">
        <v>15824</v>
      </c>
    </row>
    <row r="1296" spans="1:17" x14ac:dyDescent="0.2">
      <c r="A1296" s="1">
        <v>43435</v>
      </c>
      <c r="B1296">
        <v>53700</v>
      </c>
      <c r="C1296" t="s">
        <v>79</v>
      </c>
      <c r="D1296" t="s">
        <v>41</v>
      </c>
      <c r="E1296" t="s">
        <v>62</v>
      </c>
      <c r="F1296" s="5">
        <v>46</v>
      </c>
      <c r="G1296" t="str">
        <f>IF(Data[[#This Row],[Age]]&lt;25,"Under 25",IF(Data[[#This Row],[Age]]&lt;35,"25–34",IF(Data[[#This Row],[Age]]&lt;45,"35–44",IF(Data[[#This Row],[Age]]&lt;55,"45–54","55+"))))</f>
        <v>45–54</v>
      </c>
      <c r="H1296" t="s">
        <v>25</v>
      </c>
      <c r="I1296" t="s">
        <v>56</v>
      </c>
      <c r="J1296" t="s">
        <v>35</v>
      </c>
      <c r="K1296" s="1">
        <v>41787</v>
      </c>
      <c r="M1296" s="1" t="str">
        <f>IF(ISBLANK(Data[[#This Row],[EndDate]]),"Active","InActive")</f>
        <v>Active</v>
      </c>
      <c r="N1296" t="s">
        <v>57</v>
      </c>
      <c r="O1296" t="s">
        <v>76</v>
      </c>
      <c r="P1296" t="s">
        <v>40</v>
      </c>
      <c r="Q1296" s="2">
        <v>23506</v>
      </c>
    </row>
    <row r="1297" spans="1:17" x14ac:dyDescent="0.2">
      <c r="A1297" s="1">
        <v>43435</v>
      </c>
      <c r="B1297">
        <v>53838</v>
      </c>
      <c r="C1297" t="s">
        <v>80</v>
      </c>
      <c r="D1297" t="s">
        <v>29</v>
      </c>
      <c r="E1297" t="s">
        <v>30</v>
      </c>
      <c r="F1297" s="5">
        <v>46</v>
      </c>
      <c r="G1297" t="str">
        <f>IF(Data[[#This Row],[Age]]&lt;25,"Under 25",IF(Data[[#This Row],[Age]]&lt;35,"25–34",IF(Data[[#This Row],[Age]]&lt;45,"35–44",IF(Data[[#This Row],[Age]]&lt;55,"45–54","55+"))))</f>
        <v>45–54</v>
      </c>
      <c r="H1297" t="s">
        <v>49</v>
      </c>
      <c r="I1297" t="s">
        <v>56</v>
      </c>
      <c r="J1297" t="s">
        <v>26</v>
      </c>
      <c r="K1297" s="1">
        <v>41606</v>
      </c>
      <c r="M1297" s="1" t="str">
        <f>IF(ISBLANK(Data[[#This Row],[EndDate]]),"Active","InActive")</f>
        <v>Active</v>
      </c>
      <c r="N1297" t="s">
        <v>57</v>
      </c>
      <c r="O1297" t="s">
        <v>76</v>
      </c>
      <c r="P1297" t="s">
        <v>40</v>
      </c>
      <c r="Q1297" s="2">
        <v>22310</v>
      </c>
    </row>
    <row r="1298" spans="1:17" x14ac:dyDescent="0.2">
      <c r="A1298" s="1">
        <v>43070</v>
      </c>
      <c r="B1298">
        <v>49848</v>
      </c>
      <c r="C1298" t="s">
        <v>80</v>
      </c>
      <c r="D1298" t="s">
        <v>27</v>
      </c>
      <c r="E1298" t="s">
        <v>74</v>
      </c>
      <c r="F1298" s="5">
        <v>46</v>
      </c>
      <c r="G1298" t="str">
        <f>IF(Data[[#This Row],[Age]]&lt;25,"Under 25",IF(Data[[#This Row],[Age]]&lt;35,"25–34",IF(Data[[#This Row],[Age]]&lt;45,"35–44",IF(Data[[#This Row],[Age]]&lt;55,"45–54","55+"))))</f>
        <v>45–54</v>
      </c>
      <c r="H1298" t="s">
        <v>46</v>
      </c>
      <c r="I1298" t="s">
        <v>56</v>
      </c>
      <c r="J1298" t="s">
        <v>26</v>
      </c>
      <c r="K1298" s="1">
        <v>40983</v>
      </c>
      <c r="M1298" s="1" t="str">
        <f>IF(ISBLANK(Data[[#This Row],[EndDate]]),"Active","InActive")</f>
        <v>Active</v>
      </c>
      <c r="N1298" t="s">
        <v>57</v>
      </c>
      <c r="O1298" t="s">
        <v>76</v>
      </c>
      <c r="P1298" t="s">
        <v>32</v>
      </c>
      <c r="Q1298" s="2">
        <v>19872</v>
      </c>
    </row>
    <row r="1299" spans="1:17" x14ac:dyDescent="0.2">
      <c r="A1299" s="1">
        <v>42705</v>
      </c>
      <c r="B1299">
        <v>41692</v>
      </c>
      <c r="C1299" t="s">
        <v>80</v>
      </c>
      <c r="D1299" t="s">
        <v>38</v>
      </c>
      <c r="E1299" t="s">
        <v>45</v>
      </c>
      <c r="F1299" s="5">
        <v>46</v>
      </c>
      <c r="G1299" t="str">
        <f>IF(Data[[#This Row],[Age]]&lt;25,"Under 25",IF(Data[[#This Row],[Age]]&lt;35,"25–34",IF(Data[[#This Row],[Age]]&lt;45,"35–44",IF(Data[[#This Row],[Age]]&lt;55,"45–54","55+"))))</f>
        <v>45–54</v>
      </c>
      <c r="H1299" t="s">
        <v>31</v>
      </c>
      <c r="I1299" t="s">
        <v>56</v>
      </c>
      <c r="J1299" t="s">
        <v>35</v>
      </c>
      <c r="K1299" s="1">
        <v>41235</v>
      </c>
      <c r="M1299" s="1" t="str">
        <f>IF(ISBLANK(Data[[#This Row],[EndDate]]),"Active","InActive")</f>
        <v>Active</v>
      </c>
      <c r="N1299" t="s">
        <v>57</v>
      </c>
      <c r="O1299" t="s">
        <v>76</v>
      </c>
      <c r="P1299" t="s">
        <v>22</v>
      </c>
      <c r="Q1299" s="2">
        <v>41814</v>
      </c>
    </row>
    <row r="1300" spans="1:17" x14ac:dyDescent="0.2">
      <c r="A1300" s="1">
        <v>42705</v>
      </c>
      <c r="B1300">
        <v>49040</v>
      </c>
      <c r="C1300" t="s">
        <v>79</v>
      </c>
      <c r="D1300" t="s">
        <v>47</v>
      </c>
      <c r="E1300" t="s">
        <v>73</v>
      </c>
      <c r="F1300" s="5">
        <v>46</v>
      </c>
      <c r="G1300" t="str">
        <f>IF(Data[[#This Row],[Age]]&lt;25,"Under 25",IF(Data[[#This Row],[Age]]&lt;35,"25–34",IF(Data[[#This Row],[Age]]&lt;45,"35–44",IF(Data[[#This Row],[Age]]&lt;55,"45–54","55+"))))</f>
        <v>45–54</v>
      </c>
      <c r="H1300" t="s">
        <v>25</v>
      </c>
      <c r="I1300" t="s">
        <v>18</v>
      </c>
      <c r="J1300" t="s">
        <v>35</v>
      </c>
      <c r="K1300" s="1">
        <v>40331</v>
      </c>
      <c r="M1300" s="1" t="str">
        <f>IF(ISBLANK(Data[[#This Row],[EndDate]]),"Active","InActive")</f>
        <v>Active</v>
      </c>
      <c r="N1300" t="s">
        <v>20</v>
      </c>
      <c r="O1300" t="s">
        <v>76</v>
      </c>
      <c r="P1300" t="s">
        <v>22</v>
      </c>
      <c r="Q1300" s="2">
        <v>20378</v>
      </c>
    </row>
    <row r="1301" spans="1:17" x14ac:dyDescent="0.2">
      <c r="A1301" s="1">
        <v>43435</v>
      </c>
      <c r="B1301">
        <v>42478</v>
      </c>
      <c r="C1301" t="s">
        <v>80</v>
      </c>
      <c r="D1301" t="s">
        <v>15</v>
      </c>
      <c r="E1301" t="s">
        <v>16</v>
      </c>
      <c r="F1301" s="5">
        <v>46</v>
      </c>
      <c r="G1301" t="str">
        <f>IF(Data[[#This Row],[Age]]&lt;25,"Under 25",IF(Data[[#This Row],[Age]]&lt;35,"25–34",IF(Data[[#This Row],[Age]]&lt;45,"35–44",IF(Data[[#This Row],[Age]]&lt;55,"45–54","55+"))))</f>
        <v>45–54</v>
      </c>
      <c r="H1301" t="s">
        <v>46</v>
      </c>
      <c r="I1301" t="s">
        <v>18</v>
      </c>
      <c r="J1301" t="s">
        <v>35</v>
      </c>
      <c r="K1301" s="1">
        <v>41803</v>
      </c>
      <c r="M1301" s="1" t="str">
        <f>IF(ISBLANK(Data[[#This Row],[EndDate]]),"Active","InActive")</f>
        <v>Active</v>
      </c>
      <c r="N1301" t="s">
        <v>20</v>
      </c>
      <c r="O1301" t="s">
        <v>76</v>
      </c>
      <c r="P1301" t="s">
        <v>40</v>
      </c>
      <c r="Q1301" s="2">
        <v>21206</v>
      </c>
    </row>
    <row r="1302" spans="1:17" x14ac:dyDescent="0.2">
      <c r="A1302" s="1">
        <v>43070</v>
      </c>
      <c r="B1302">
        <v>44038</v>
      </c>
      <c r="C1302" t="s">
        <v>80</v>
      </c>
      <c r="D1302" t="s">
        <v>29</v>
      </c>
      <c r="E1302" t="s">
        <v>33</v>
      </c>
      <c r="F1302" s="5">
        <v>46</v>
      </c>
      <c r="G1302" t="str">
        <f>IF(Data[[#This Row],[Age]]&lt;25,"Under 25",IF(Data[[#This Row],[Age]]&lt;35,"25–34",IF(Data[[#This Row],[Age]]&lt;45,"35–44",IF(Data[[#This Row],[Age]]&lt;55,"45–54","55+"))))</f>
        <v>45–54</v>
      </c>
      <c r="H1302" t="s">
        <v>17</v>
      </c>
      <c r="I1302" t="s">
        <v>18</v>
      </c>
      <c r="J1302" t="s">
        <v>37</v>
      </c>
      <c r="K1302" s="1">
        <v>41559</v>
      </c>
      <c r="M1302" s="1" t="str">
        <f>IF(ISBLANK(Data[[#This Row],[EndDate]]),"Active","InActive")</f>
        <v>Active</v>
      </c>
      <c r="N1302" t="s">
        <v>20</v>
      </c>
      <c r="O1302" t="s">
        <v>76</v>
      </c>
      <c r="P1302" t="s">
        <v>32</v>
      </c>
      <c r="Q1302" s="2">
        <v>22310</v>
      </c>
    </row>
    <row r="1303" spans="1:17" x14ac:dyDescent="0.2">
      <c r="A1303" s="1">
        <v>43435</v>
      </c>
      <c r="B1303">
        <v>53176</v>
      </c>
      <c r="C1303" t="s">
        <v>79</v>
      </c>
      <c r="D1303" t="s">
        <v>43</v>
      </c>
      <c r="E1303" t="s">
        <v>44</v>
      </c>
      <c r="F1303" s="5">
        <v>46</v>
      </c>
      <c r="G1303" t="str">
        <f>IF(Data[[#This Row],[Age]]&lt;25,"Under 25",IF(Data[[#This Row],[Age]]&lt;35,"25–34",IF(Data[[#This Row],[Age]]&lt;45,"35–44",IF(Data[[#This Row],[Age]]&lt;55,"45–54","55+"))))</f>
        <v>45–54</v>
      </c>
      <c r="H1303" t="s">
        <v>17</v>
      </c>
      <c r="I1303" t="s">
        <v>56</v>
      </c>
      <c r="J1303" t="s">
        <v>37</v>
      </c>
      <c r="K1303" s="1">
        <v>33933</v>
      </c>
      <c r="M1303" s="1" t="str">
        <f>IF(ISBLANK(Data[[#This Row],[EndDate]]),"Active","InActive")</f>
        <v>Active</v>
      </c>
      <c r="N1303" t="s">
        <v>57</v>
      </c>
      <c r="O1303" t="s">
        <v>76</v>
      </c>
      <c r="P1303" t="s">
        <v>40</v>
      </c>
      <c r="Q1303" s="2">
        <v>29118</v>
      </c>
    </row>
    <row r="1304" spans="1:17" x14ac:dyDescent="0.2">
      <c r="A1304" s="1">
        <v>43435</v>
      </c>
      <c r="B1304">
        <v>54552</v>
      </c>
      <c r="C1304" t="s">
        <v>80</v>
      </c>
      <c r="D1304" t="s">
        <v>43</v>
      </c>
      <c r="E1304" t="s">
        <v>60</v>
      </c>
      <c r="F1304" s="5">
        <v>46</v>
      </c>
      <c r="G1304" t="str">
        <f>IF(Data[[#This Row],[Age]]&lt;25,"Under 25",IF(Data[[#This Row],[Age]]&lt;35,"25–34",IF(Data[[#This Row],[Age]]&lt;45,"35–44",IF(Data[[#This Row],[Age]]&lt;55,"45–54","55+"))))</f>
        <v>45–54</v>
      </c>
      <c r="H1304" t="s">
        <v>59</v>
      </c>
      <c r="I1304" t="s">
        <v>18</v>
      </c>
      <c r="J1304" t="s">
        <v>37</v>
      </c>
      <c r="K1304" s="1">
        <v>41201</v>
      </c>
      <c r="M1304" s="1" t="str">
        <f>IF(ISBLANK(Data[[#This Row],[EndDate]]),"Active","InActive")</f>
        <v>Active</v>
      </c>
      <c r="N1304" t="s">
        <v>20</v>
      </c>
      <c r="O1304" t="s">
        <v>76</v>
      </c>
      <c r="P1304" t="s">
        <v>40</v>
      </c>
      <c r="Q1304" s="2">
        <v>35742</v>
      </c>
    </row>
    <row r="1305" spans="1:17" x14ac:dyDescent="0.2">
      <c r="A1305" s="1">
        <v>42705</v>
      </c>
      <c r="B1305">
        <v>111234</v>
      </c>
      <c r="C1305" t="s">
        <v>80</v>
      </c>
      <c r="D1305" t="s">
        <v>52</v>
      </c>
      <c r="E1305" t="s">
        <v>67</v>
      </c>
      <c r="F1305" s="5">
        <v>46</v>
      </c>
      <c r="G1305" t="str">
        <f>IF(Data[[#This Row],[Age]]&lt;25,"Under 25",IF(Data[[#This Row],[Age]]&lt;35,"25–34",IF(Data[[#This Row],[Age]]&lt;45,"35–44",IF(Data[[#This Row],[Age]]&lt;55,"45–54","55+"))))</f>
        <v>45–54</v>
      </c>
      <c r="H1305" t="s">
        <v>17</v>
      </c>
      <c r="I1305" t="s">
        <v>18</v>
      </c>
      <c r="J1305" t="s">
        <v>37</v>
      </c>
      <c r="K1305" s="1">
        <v>41201</v>
      </c>
      <c r="M1305" s="1" t="str">
        <f>IF(ISBLANK(Data[[#This Row],[EndDate]]),"Active","InActive")</f>
        <v>Active</v>
      </c>
      <c r="N1305" t="s">
        <v>20</v>
      </c>
      <c r="O1305" t="s">
        <v>76</v>
      </c>
      <c r="P1305" t="s">
        <v>22</v>
      </c>
      <c r="Q1305" s="2">
        <v>36938</v>
      </c>
    </row>
    <row r="1306" spans="1:17" x14ac:dyDescent="0.2">
      <c r="A1306" s="1">
        <v>43070</v>
      </c>
      <c r="B1306">
        <v>17998</v>
      </c>
      <c r="C1306" t="s">
        <v>80</v>
      </c>
      <c r="D1306" t="s">
        <v>23</v>
      </c>
      <c r="E1306" t="s">
        <v>24</v>
      </c>
      <c r="F1306" s="5">
        <v>46</v>
      </c>
      <c r="G1306" t="str">
        <f>IF(Data[[#This Row],[Age]]&lt;25,"Under 25",IF(Data[[#This Row],[Age]]&lt;35,"25–34",IF(Data[[#This Row],[Age]]&lt;45,"35–44",IF(Data[[#This Row],[Age]]&lt;55,"45–54","55+"))))</f>
        <v>45–54</v>
      </c>
      <c r="H1306" t="s">
        <v>59</v>
      </c>
      <c r="I1306" t="s">
        <v>18</v>
      </c>
      <c r="J1306" t="s">
        <v>37</v>
      </c>
      <c r="K1306" s="1">
        <v>41154</v>
      </c>
      <c r="M1306" s="1" t="str">
        <f>IF(ISBLANK(Data[[#This Row],[EndDate]]),"Active","InActive")</f>
        <v>Active</v>
      </c>
      <c r="N1306" t="s">
        <v>20</v>
      </c>
      <c r="O1306" t="s">
        <v>76</v>
      </c>
      <c r="P1306" t="s">
        <v>32</v>
      </c>
      <c r="Q1306" s="2">
        <v>31694</v>
      </c>
    </row>
    <row r="1307" spans="1:17" x14ac:dyDescent="0.2">
      <c r="A1307" s="1">
        <v>43070</v>
      </c>
      <c r="B1307">
        <v>52652</v>
      </c>
      <c r="C1307" t="s">
        <v>80</v>
      </c>
      <c r="D1307" t="s">
        <v>27</v>
      </c>
      <c r="E1307" t="s">
        <v>72</v>
      </c>
      <c r="F1307" s="5">
        <v>46</v>
      </c>
      <c r="G1307" t="str">
        <f>IF(Data[[#This Row],[Age]]&lt;25,"Under 25",IF(Data[[#This Row],[Age]]&lt;35,"25–34",IF(Data[[#This Row],[Age]]&lt;45,"35–44",IF(Data[[#This Row],[Age]]&lt;55,"45–54","55+"))))</f>
        <v>45–54</v>
      </c>
      <c r="H1307" t="s">
        <v>49</v>
      </c>
      <c r="I1307" t="s">
        <v>56</v>
      </c>
      <c r="J1307" t="s">
        <v>37</v>
      </c>
      <c r="K1307" s="1">
        <v>41593</v>
      </c>
      <c r="M1307" s="1" t="str">
        <f>IF(ISBLANK(Data[[#This Row],[EndDate]]),"Active","InActive")</f>
        <v>Active</v>
      </c>
      <c r="N1307" t="s">
        <v>57</v>
      </c>
      <c r="O1307" t="s">
        <v>76</v>
      </c>
      <c r="P1307" t="s">
        <v>32</v>
      </c>
      <c r="Q1307" s="2">
        <v>35604</v>
      </c>
    </row>
    <row r="1308" spans="1:17" x14ac:dyDescent="0.2">
      <c r="A1308" s="1">
        <v>43435</v>
      </c>
      <c r="B1308">
        <v>50312</v>
      </c>
      <c r="C1308" t="s">
        <v>79</v>
      </c>
      <c r="D1308" t="s">
        <v>43</v>
      </c>
      <c r="E1308" t="s">
        <v>60</v>
      </c>
      <c r="F1308" s="5">
        <v>46</v>
      </c>
      <c r="G1308" t="str">
        <f>IF(Data[[#This Row],[Age]]&lt;25,"Under 25",IF(Data[[#This Row],[Age]]&lt;35,"25–34",IF(Data[[#This Row],[Age]]&lt;45,"35–44",IF(Data[[#This Row],[Age]]&lt;55,"45–54","55+"))))</f>
        <v>45–54</v>
      </c>
      <c r="H1308" t="s">
        <v>31</v>
      </c>
      <c r="I1308" t="s">
        <v>56</v>
      </c>
      <c r="J1308" t="s">
        <v>37</v>
      </c>
      <c r="K1308" s="1">
        <v>41152</v>
      </c>
      <c r="M1308" s="1" t="str">
        <f>IF(ISBLANK(Data[[#This Row],[EndDate]]),"Active","InActive")</f>
        <v>Active</v>
      </c>
      <c r="N1308" t="s">
        <v>57</v>
      </c>
      <c r="O1308" t="s">
        <v>76</v>
      </c>
      <c r="P1308" t="s">
        <v>40</v>
      </c>
      <c r="Q1308" s="2">
        <v>7498</v>
      </c>
    </row>
    <row r="1309" spans="1:17" x14ac:dyDescent="0.2">
      <c r="A1309" s="1">
        <v>43435</v>
      </c>
      <c r="B1309">
        <v>51338</v>
      </c>
      <c r="C1309" t="s">
        <v>80</v>
      </c>
      <c r="D1309" t="s">
        <v>38</v>
      </c>
      <c r="E1309" t="s">
        <v>45</v>
      </c>
      <c r="F1309" s="5">
        <v>46</v>
      </c>
      <c r="G1309" t="str">
        <f>IF(Data[[#This Row],[Age]]&lt;25,"Under 25",IF(Data[[#This Row],[Age]]&lt;35,"25–34",IF(Data[[#This Row],[Age]]&lt;45,"35–44",IF(Data[[#This Row],[Age]]&lt;55,"45–54","55+"))))</f>
        <v>45–54</v>
      </c>
      <c r="H1309" t="s">
        <v>49</v>
      </c>
      <c r="I1309" t="s">
        <v>56</v>
      </c>
      <c r="J1309" t="s">
        <v>37</v>
      </c>
      <c r="K1309" s="1">
        <v>41215</v>
      </c>
      <c r="M1309" s="1" t="str">
        <f>IF(ISBLANK(Data[[#This Row],[EndDate]]),"Active","InActive")</f>
        <v>Active</v>
      </c>
      <c r="N1309" t="s">
        <v>57</v>
      </c>
      <c r="O1309" t="s">
        <v>76</v>
      </c>
      <c r="P1309" t="s">
        <v>40</v>
      </c>
      <c r="Q1309" s="2">
        <v>5704</v>
      </c>
    </row>
    <row r="1310" spans="1:17" x14ac:dyDescent="0.2">
      <c r="A1310" s="1">
        <v>43070</v>
      </c>
      <c r="B1310">
        <v>40542</v>
      </c>
      <c r="C1310" t="s">
        <v>80</v>
      </c>
      <c r="D1310" t="s">
        <v>15</v>
      </c>
      <c r="E1310" t="s">
        <v>58</v>
      </c>
      <c r="F1310" s="5">
        <v>46</v>
      </c>
      <c r="G1310" t="str">
        <f>IF(Data[[#This Row],[Age]]&lt;25,"Under 25",IF(Data[[#This Row],[Age]]&lt;35,"25–34",IF(Data[[#This Row],[Age]]&lt;45,"35–44",IF(Data[[#This Row],[Age]]&lt;55,"45–54","55+"))))</f>
        <v>45–54</v>
      </c>
      <c r="H1310" t="s">
        <v>31</v>
      </c>
      <c r="I1310" t="s">
        <v>18</v>
      </c>
      <c r="J1310" t="s">
        <v>37</v>
      </c>
      <c r="K1310" s="1">
        <v>38524</v>
      </c>
      <c r="L1310" s="1">
        <v>38624</v>
      </c>
      <c r="M1310" s="1" t="str">
        <f>IF(ISBLANK(Data[[#This Row],[EndDate]]),"Active","InActive")</f>
        <v>InActive</v>
      </c>
      <c r="N1310" t="s">
        <v>20</v>
      </c>
      <c r="O1310" t="s">
        <v>76</v>
      </c>
      <c r="P1310" t="s">
        <v>32</v>
      </c>
      <c r="Q1310" s="2">
        <v>22310</v>
      </c>
    </row>
    <row r="1311" spans="1:17" x14ac:dyDescent="0.2">
      <c r="A1311" s="1">
        <v>42705</v>
      </c>
      <c r="B1311">
        <v>18230</v>
      </c>
      <c r="C1311" t="s">
        <v>80</v>
      </c>
      <c r="D1311" t="s">
        <v>50</v>
      </c>
      <c r="E1311" t="s">
        <v>63</v>
      </c>
      <c r="F1311" s="5">
        <v>46</v>
      </c>
      <c r="G1311" t="str">
        <f>IF(Data[[#This Row],[Age]]&lt;25,"Under 25",IF(Data[[#This Row],[Age]]&lt;35,"25–34",IF(Data[[#This Row],[Age]]&lt;45,"35–44",IF(Data[[#This Row],[Age]]&lt;55,"45–54","55+"))))</f>
        <v>45–54</v>
      </c>
      <c r="H1311" t="s">
        <v>49</v>
      </c>
      <c r="I1311" t="s">
        <v>18</v>
      </c>
      <c r="J1311" t="s">
        <v>37</v>
      </c>
      <c r="K1311" s="1">
        <v>39379</v>
      </c>
      <c r="M1311" s="1" t="str">
        <f>IF(ISBLANK(Data[[#This Row],[EndDate]]),"Active","InActive")</f>
        <v>Active</v>
      </c>
      <c r="N1311" t="s">
        <v>20</v>
      </c>
      <c r="O1311" t="s">
        <v>76</v>
      </c>
      <c r="P1311" t="s">
        <v>22</v>
      </c>
      <c r="Q1311" s="2">
        <v>39146</v>
      </c>
    </row>
    <row r="1312" spans="1:17" x14ac:dyDescent="0.2">
      <c r="A1312" s="1">
        <v>42705</v>
      </c>
      <c r="B1312">
        <v>43376</v>
      </c>
      <c r="C1312" t="s">
        <v>79</v>
      </c>
      <c r="D1312" t="s">
        <v>41</v>
      </c>
      <c r="E1312" t="s">
        <v>68</v>
      </c>
      <c r="F1312" s="5">
        <v>46</v>
      </c>
      <c r="G1312" t="str">
        <f>IF(Data[[#This Row],[Age]]&lt;25,"Under 25",IF(Data[[#This Row],[Age]]&lt;35,"25–34",IF(Data[[#This Row],[Age]]&lt;45,"35–44",IF(Data[[#This Row],[Age]]&lt;55,"45–54","55+"))))</f>
        <v>45–54</v>
      </c>
      <c r="H1312" t="s">
        <v>49</v>
      </c>
      <c r="I1312" t="s">
        <v>18</v>
      </c>
      <c r="J1312" t="s">
        <v>37</v>
      </c>
      <c r="K1312" s="1">
        <v>41198</v>
      </c>
      <c r="M1312" s="1" t="str">
        <f>IF(ISBLANK(Data[[#This Row],[EndDate]]),"Active","InActive")</f>
        <v>Active</v>
      </c>
      <c r="N1312" t="s">
        <v>20</v>
      </c>
      <c r="O1312" t="s">
        <v>76</v>
      </c>
      <c r="P1312" t="s">
        <v>22</v>
      </c>
      <c r="Q1312" s="2">
        <v>25898</v>
      </c>
    </row>
    <row r="1313" spans="1:17" x14ac:dyDescent="0.2">
      <c r="A1313" s="1">
        <v>43070</v>
      </c>
      <c r="B1313">
        <v>40452</v>
      </c>
      <c r="C1313" t="s">
        <v>80</v>
      </c>
      <c r="D1313" t="s">
        <v>43</v>
      </c>
      <c r="E1313" t="s">
        <v>60</v>
      </c>
      <c r="F1313" s="5">
        <v>46</v>
      </c>
      <c r="G1313" t="str">
        <f>IF(Data[[#This Row],[Age]]&lt;25,"Under 25",IF(Data[[#This Row],[Age]]&lt;35,"25–34",IF(Data[[#This Row],[Age]]&lt;45,"35–44",IF(Data[[#This Row],[Age]]&lt;55,"45–54","55+"))))</f>
        <v>45–54</v>
      </c>
      <c r="H1313" t="s">
        <v>49</v>
      </c>
      <c r="I1313" t="s">
        <v>18</v>
      </c>
      <c r="J1313" t="s">
        <v>37</v>
      </c>
      <c r="K1313" s="1">
        <v>41563</v>
      </c>
      <c r="M1313" s="1" t="str">
        <f>IF(ISBLANK(Data[[#This Row],[EndDate]]),"Active","InActive")</f>
        <v>Active</v>
      </c>
      <c r="N1313" t="s">
        <v>20</v>
      </c>
      <c r="O1313" t="s">
        <v>76</v>
      </c>
      <c r="P1313" t="s">
        <v>32</v>
      </c>
      <c r="Q1313" s="2">
        <v>45632</v>
      </c>
    </row>
    <row r="1314" spans="1:17" x14ac:dyDescent="0.2">
      <c r="A1314" s="1">
        <v>43435</v>
      </c>
      <c r="B1314">
        <v>52926</v>
      </c>
      <c r="C1314" t="s">
        <v>79</v>
      </c>
      <c r="D1314" t="s">
        <v>15</v>
      </c>
      <c r="E1314" t="s">
        <v>16</v>
      </c>
      <c r="F1314" s="5">
        <v>46</v>
      </c>
      <c r="G1314" t="str">
        <f>IF(Data[[#This Row],[Age]]&lt;25,"Under 25",IF(Data[[#This Row],[Age]]&lt;35,"25–34",IF(Data[[#This Row],[Age]]&lt;45,"35–44",IF(Data[[#This Row],[Age]]&lt;55,"45–54","55+"))))</f>
        <v>45–54</v>
      </c>
      <c r="H1314" t="s">
        <v>49</v>
      </c>
      <c r="I1314" t="s">
        <v>18</v>
      </c>
      <c r="J1314" t="s">
        <v>37</v>
      </c>
      <c r="K1314" s="1">
        <v>32274</v>
      </c>
      <c r="M1314" s="1" t="str">
        <f>IF(ISBLANK(Data[[#This Row],[EndDate]]),"Active","InActive")</f>
        <v>Active</v>
      </c>
      <c r="N1314" t="s">
        <v>20</v>
      </c>
      <c r="O1314" t="s">
        <v>76</v>
      </c>
      <c r="P1314" t="s">
        <v>40</v>
      </c>
      <c r="Q1314" s="2">
        <v>32338</v>
      </c>
    </row>
    <row r="1315" spans="1:17" x14ac:dyDescent="0.2">
      <c r="A1315" s="1">
        <v>43435</v>
      </c>
      <c r="B1315">
        <v>52984</v>
      </c>
      <c r="C1315" t="s">
        <v>80</v>
      </c>
      <c r="D1315" t="s">
        <v>47</v>
      </c>
      <c r="E1315" t="s">
        <v>48</v>
      </c>
      <c r="F1315" s="5">
        <v>46</v>
      </c>
      <c r="G1315" t="str">
        <f>IF(Data[[#This Row],[Age]]&lt;25,"Under 25",IF(Data[[#This Row],[Age]]&lt;35,"25–34",IF(Data[[#This Row],[Age]]&lt;45,"35–44",IF(Data[[#This Row],[Age]]&lt;55,"45–54","55+"))))</f>
        <v>45–54</v>
      </c>
      <c r="H1315" t="s">
        <v>49</v>
      </c>
      <c r="I1315" t="s">
        <v>56</v>
      </c>
      <c r="J1315" t="s">
        <v>37</v>
      </c>
      <c r="K1315" s="1">
        <v>32457</v>
      </c>
      <c r="M1315" s="1" t="str">
        <f>IF(ISBLANK(Data[[#This Row],[EndDate]]),"Active","InActive")</f>
        <v>Active</v>
      </c>
      <c r="N1315" t="s">
        <v>57</v>
      </c>
      <c r="O1315" t="s">
        <v>76</v>
      </c>
      <c r="P1315" t="s">
        <v>40</v>
      </c>
      <c r="Q1315" s="2">
        <v>7176</v>
      </c>
    </row>
    <row r="1316" spans="1:17" x14ac:dyDescent="0.2">
      <c r="A1316" s="1">
        <v>43435</v>
      </c>
      <c r="B1316">
        <v>55734</v>
      </c>
      <c r="C1316" t="s">
        <v>80</v>
      </c>
      <c r="D1316" t="s">
        <v>23</v>
      </c>
      <c r="E1316" t="s">
        <v>71</v>
      </c>
      <c r="F1316" s="5">
        <v>46</v>
      </c>
      <c r="G1316" t="str">
        <f>IF(Data[[#This Row],[Age]]&lt;25,"Under 25",IF(Data[[#This Row],[Age]]&lt;35,"25–34",IF(Data[[#This Row],[Age]]&lt;45,"35–44",IF(Data[[#This Row],[Age]]&lt;55,"45–54","55+"))))</f>
        <v>45–54</v>
      </c>
      <c r="H1316" t="s">
        <v>25</v>
      </c>
      <c r="I1316" t="s">
        <v>18</v>
      </c>
      <c r="J1316" t="s">
        <v>35</v>
      </c>
      <c r="K1316" s="1">
        <v>39568</v>
      </c>
      <c r="M1316" s="1" t="str">
        <f>IF(ISBLANK(Data[[#This Row],[EndDate]]),"Active","InActive")</f>
        <v>Active</v>
      </c>
      <c r="N1316" t="s">
        <v>20</v>
      </c>
      <c r="O1316" t="s">
        <v>76</v>
      </c>
      <c r="P1316" t="s">
        <v>40</v>
      </c>
      <c r="Q1316" s="2">
        <v>27140</v>
      </c>
    </row>
    <row r="1317" spans="1:17" x14ac:dyDescent="0.2">
      <c r="A1317" s="1">
        <v>43070</v>
      </c>
      <c r="B1317">
        <v>92334</v>
      </c>
      <c r="C1317" t="s">
        <v>80</v>
      </c>
      <c r="D1317" t="s">
        <v>27</v>
      </c>
      <c r="E1317" t="s">
        <v>74</v>
      </c>
      <c r="F1317" s="5">
        <v>46</v>
      </c>
      <c r="G1317" t="str">
        <f>IF(Data[[#This Row],[Age]]&lt;25,"Under 25",IF(Data[[#This Row],[Age]]&lt;35,"25–34",IF(Data[[#This Row],[Age]]&lt;45,"35–44",IF(Data[[#This Row],[Age]]&lt;55,"45–54","55+"))))</f>
        <v>45–54</v>
      </c>
      <c r="H1317" t="s">
        <v>25</v>
      </c>
      <c r="I1317" t="s">
        <v>56</v>
      </c>
      <c r="J1317" t="s">
        <v>19</v>
      </c>
      <c r="K1317" s="1">
        <v>39820</v>
      </c>
      <c r="M1317" s="1" t="str">
        <f>IF(ISBLANK(Data[[#This Row],[EndDate]]),"Active","InActive")</f>
        <v>Active</v>
      </c>
      <c r="N1317" t="s">
        <v>57</v>
      </c>
      <c r="O1317" t="s">
        <v>76</v>
      </c>
      <c r="P1317" t="s">
        <v>32</v>
      </c>
      <c r="Q1317" s="2">
        <v>4738</v>
      </c>
    </row>
    <row r="1318" spans="1:17" x14ac:dyDescent="0.2">
      <c r="A1318" s="1">
        <v>43435</v>
      </c>
      <c r="B1318">
        <v>96442</v>
      </c>
      <c r="C1318" t="s">
        <v>80</v>
      </c>
      <c r="D1318" t="s">
        <v>43</v>
      </c>
      <c r="E1318" t="s">
        <v>44</v>
      </c>
      <c r="F1318" s="5">
        <v>46</v>
      </c>
      <c r="G1318" t="str">
        <f>IF(Data[[#This Row],[Age]]&lt;25,"Under 25",IF(Data[[#This Row],[Age]]&lt;35,"25–34",IF(Data[[#This Row],[Age]]&lt;45,"35–44",IF(Data[[#This Row],[Age]]&lt;55,"45–54","55+"))))</f>
        <v>45–54</v>
      </c>
      <c r="H1318" t="s">
        <v>59</v>
      </c>
      <c r="I1318" t="s">
        <v>56</v>
      </c>
      <c r="J1318" t="s">
        <v>19</v>
      </c>
      <c r="K1318" s="1">
        <v>38615</v>
      </c>
      <c r="M1318" s="1" t="str">
        <f>IF(ISBLANK(Data[[#This Row],[EndDate]]),"Active","InActive")</f>
        <v>Active</v>
      </c>
      <c r="N1318" t="s">
        <v>57</v>
      </c>
      <c r="O1318" t="s">
        <v>76</v>
      </c>
      <c r="P1318" t="s">
        <v>40</v>
      </c>
      <c r="Q1318" s="2">
        <v>42274</v>
      </c>
    </row>
    <row r="1319" spans="1:17" x14ac:dyDescent="0.2">
      <c r="A1319" s="1">
        <v>42705</v>
      </c>
      <c r="B1319">
        <v>117760</v>
      </c>
      <c r="C1319" t="s">
        <v>79</v>
      </c>
      <c r="D1319" t="s">
        <v>29</v>
      </c>
      <c r="E1319" t="s">
        <v>30</v>
      </c>
      <c r="F1319" s="5">
        <v>46</v>
      </c>
      <c r="G1319" t="str">
        <f>IF(Data[[#This Row],[Age]]&lt;25,"Under 25",IF(Data[[#This Row],[Age]]&lt;35,"25–34",IF(Data[[#This Row],[Age]]&lt;45,"35–44",IF(Data[[#This Row],[Age]]&lt;55,"45–54","55+"))))</f>
        <v>45–54</v>
      </c>
      <c r="H1319" t="s">
        <v>49</v>
      </c>
      <c r="I1319" t="s">
        <v>56</v>
      </c>
      <c r="J1319" t="s">
        <v>19</v>
      </c>
      <c r="K1319" s="1">
        <v>41158</v>
      </c>
      <c r="M1319" s="1" t="str">
        <f>IF(ISBLANK(Data[[#This Row],[EndDate]]),"Active","InActive")</f>
        <v>Active</v>
      </c>
      <c r="N1319" t="s">
        <v>57</v>
      </c>
      <c r="O1319" t="s">
        <v>76</v>
      </c>
      <c r="P1319" t="s">
        <v>22</v>
      </c>
      <c r="Q1319" s="2">
        <v>31786</v>
      </c>
    </row>
    <row r="1320" spans="1:17" x14ac:dyDescent="0.2">
      <c r="A1320" s="1">
        <v>43070</v>
      </c>
      <c r="B1320">
        <v>33288</v>
      </c>
      <c r="C1320" t="s">
        <v>79</v>
      </c>
      <c r="D1320" t="s">
        <v>50</v>
      </c>
      <c r="E1320" t="s">
        <v>63</v>
      </c>
      <c r="F1320" s="5">
        <v>46</v>
      </c>
      <c r="G1320" t="str">
        <f>IF(Data[[#This Row],[Age]]&lt;25,"Under 25",IF(Data[[#This Row],[Age]]&lt;35,"25–34",IF(Data[[#This Row],[Age]]&lt;45,"35–44",IF(Data[[#This Row],[Age]]&lt;55,"45–54","55+"))))</f>
        <v>45–54</v>
      </c>
      <c r="H1320" t="s">
        <v>17</v>
      </c>
      <c r="I1320" t="s">
        <v>56</v>
      </c>
      <c r="J1320" t="s">
        <v>19</v>
      </c>
      <c r="K1320" s="1">
        <v>39645</v>
      </c>
      <c r="M1320" s="1" t="str">
        <f>IF(ISBLANK(Data[[#This Row],[EndDate]]),"Active","InActive")</f>
        <v>Active</v>
      </c>
      <c r="N1320" t="s">
        <v>57</v>
      </c>
      <c r="O1320" t="s">
        <v>76</v>
      </c>
      <c r="P1320" t="s">
        <v>32</v>
      </c>
      <c r="Q1320" s="2">
        <v>23966</v>
      </c>
    </row>
    <row r="1321" spans="1:17" x14ac:dyDescent="0.2">
      <c r="A1321" s="1">
        <v>43435</v>
      </c>
      <c r="B1321">
        <v>92332</v>
      </c>
      <c r="C1321" t="s">
        <v>79</v>
      </c>
      <c r="D1321" t="s">
        <v>50</v>
      </c>
      <c r="E1321" t="s">
        <v>51</v>
      </c>
      <c r="F1321" s="5">
        <v>46</v>
      </c>
      <c r="G1321" t="str">
        <f>IF(Data[[#This Row],[Age]]&lt;25,"Under 25",IF(Data[[#This Row],[Age]]&lt;35,"25–34",IF(Data[[#This Row],[Age]]&lt;45,"35–44",IF(Data[[#This Row],[Age]]&lt;55,"45–54","55+"))))</f>
        <v>45–54</v>
      </c>
      <c r="H1321" t="s">
        <v>17</v>
      </c>
      <c r="I1321" t="s">
        <v>56</v>
      </c>
      <c r="J1321" t="s">
        <v>19</v>
      </c>
      <c r="K1321" s="1">
        <v>38769</v>
      </c>
      <c r="M1321" s="1" t="str">
        <f>IF(ISBLANK(Data[[#This Row],[EndDate]]),"Active","InActive")</f>
        <v>Active</v>
      </c>
      <c r="N1321" t="s">
        <v>57</v>
      </c>
      <c r="O1321" t="s">
        <v>76</v>
      </c>
      <c r="P1321" t="s">
        <v>40</v>
      </c>
      <c r="Q1321" s="2">
        <v>32246</v>
      </c>
    </row>
    <row r="1322" spans="1:17" x14ac:dyDescent="0.2">
      <c r="A1322" s="1">
        <v>43435</v>
      </c>
      <c r="B1322">
        <v>92386</v>
      </c>
      <c r="C1322" t="s">
        <v>79</v>
      </c>
      <c r="D1322" t="s">
        <v>41</v>
      </c>
      <c r="E1322" t="s">
        <v>62</v>
      </c>
      <c r="F1322" s="5">
        <v>46</v>
      </c>
      <c r="G1322" t="str">
        <f>IF(Data[[#This Row],[Age]]&lt;25,"Under 25",IF(Data[[#This Row],[Age]]&lt;35,"25–34",IF(Data[[#This Row],[Age]]&lt;45,"35–44",IF(Data[[#This Row],[Age]]&lt;55,"45–54","55+"))))</f>
        <v>45–54</v>
      </c>
      <c r="H1322" t="s">
        <v>25</v>
      </c>
      <c r="I1322" t="s">
        <v>56</v>
      </c>
      <c r="J1322" t="s">
        <v>19</v>
      </c>
      <c r="K1322" s="1">
        <v>41367</v>
      </c>
      <c r="M1322" s="1" t="str">
        <f>IF(ISBLANK(Data[[#This Row],[EndDate]]),"Active","InActive")</f>
        <v>Active</v>
      </c>
      <c r="N1322" t="s">
        <v>57</v>
      </c>
      <c r="O1322" t="s">
        <v>76</v>
      </c>
      <c r="P1322" t="s">
        <v>40</v>
      </c>
      <c r="Q1322" s="2">
        <v>8280</v>
      </c>
    </row>
    <row r="1323" spans="1:17" x14ac:dyDescent="0.2">
      <c r="A1323" s="1">
        <v>42705</v>
      </c>
      <c r="B1323">
        <v>33262</v>
      </c>
      <c r="C1323" t="s">
        <v>79</v>
      </c>
      <c r="D1323" t="s">
        <v>52</v>
      </c>
      <c r="E1323" t="s">
        <v>53</v>
      </c>
      <c r="F1323" s="5">
        <v>47</v>
      </c>
      <c r="G1323" t="str">
        <f>IF(Data[[#This Row],[Age]]&lt;25,"Under 25",IF(Data[[#This Row],[Age]]&lt;35,"25–34",IF(Data[[#This Row],[Age]]&lt;45,"35–44",IF(Data[[#This Row],[Age]]&lt;55,"45–54","55+"))))</f>
        <v>45–54</v>
      </c>
      <c r="H1323" t="s">
        <v>34</v>
      </c>
      <c r="I1323" t="s">
        <v>56</v>
      </c>
      <c r="J1323" t="s">
        <v>37</v>
      </c>
      <c r="K1323" s="1">
        <v>39526</v>
      </c>
      <c r="M1323" s="1" t="str">
        <f>IF(ISBLANK(Data[[#This Row],[EndDate]]),"Active","InActive")</f>
        <v>Active</v>
      </c>
      <c r="N1323" t="s">
        <v>57</v>
      </c>
      <c r="O1323" t="s">
        <v>76</v>
      </c>
      <c r="P1323" t="s">
        <v>22</v>
      </c>
      <c r="Q1323" s="2">
        <v>43710</v>
      </c>
    </row>
    <row r="1324" spans="1:17" x14ac:dyDescent="0.2">
      <c r="A1324" s="1">
        <v>42705</v>
      </c>
      <c r="B1324">
        <v>53412</v>
      </c>
      <c r="C1324" t="s">
        <v>80</v>
      </c>
      <c r="D1324" t="s">
        <v>23</v>
      </c>
      <c r="E1324" t="s">
        <v>24</v>
      </c>
      <c r="F1324" s="5">
        <v>47</v>
      </c>
      <c r="G1324" t="str">
        <f>IF(Data[[#This Row],[Age]]&lt;25,"Under 25",IF(Data[[#This Row],[Age]]&lt;35,"25–34",IF(Data[[#This Row],[Age]]&lt;45,"35–44",IF(Data[[#This Row],[Age]]&lt;55,"45–54","55+"))))</f>
        <v>45–54</v>
      </c>
      <c r="H1324" t="s">
        <v>25</v>
      </c>
      <c r="I1324" t="s">
        <v>56</v>
      </c>
      <c r="J1324" t="s">
        <v>35</v>
      </c>
      <c r="K1324" s="1">
        <v>38832</v>
      </c>
      <c r="M1324" s="1" t="str">
        <f>IF(ISBLANK(Data[[#This Row],[EndDate]]),"Active","InActive")</f>
        <v>Active</v>
      </c>
      <c r="N1324" t="s">
        <v>57</v>
      </c>
      <c r="O1324" t="s">
        <v>76</v>
      </c>
      <c r="P1324" t="s">
        <v>22</v>
      </c>
      <c r="Q1324" s="2">
        <v>27683</v>
      </c>
    </row>
    <row r="1325" spans="1:17" x14ac:dyDescent="0.2">
      <c r="A1325" s="1">
        <v>42705</v>
      </c>
      <c r="B1325">
        <v>49550</v>
      </c>
      <c r="C1325" t="s">
        <v>80</v>
      </c>
      <c r="D1325" t="s">
        <v>41</v>
      </c>
      <c r="E1325" t="s">
        <v>42</v>
      </c>
      <c r="F1325" s="5">
        <v>47</v>
      </c>
      <c r="G1325" t="str">
        <f>IF(Data[[#This Row],[Age]]&lt;25,"Under 25",IF(Data[[#This Row],[Age]]&lt;35,"25–34",IF(Data[[#This Row],[Age]]&lt;45,"35–44",IF(Data[[#This Row],[Age]]&lt;55,"45–54","55+"))))</f>
        <v>45–54</v>
      </c>
      <c r="H1325" t="s">
        <v>17</v>
      </c>
      <c r="I1325" t="s">
        <v>56</v>
      </c>
      <c r="J1325" t="s">
        <v>26</v>
      </c>
      <c r="K1325" s="1">
        <v>39523</v>
      </c>
      <c r="M1325" s="1" t="str">
        <f>IF(ISBLANK(Data[[#This Row],[EndDate]]),"Active","InActive")</f>
        <v>Active</v>
      </c>
      <c r="N1325" t="s">
        <v>57</v>
      </c>
      <c r="O1325" t="s">
        <v>76</v>
      </c>
      <c r="P1325" t="s">
        <v>22</v>
      </c>
      <c r="Q1325" s="2">
        <v>6815</v>
      </c>
    </row>
    <row r="1326" spans="1:17" x14ac:dyDescent="0.2">
      <c r="A1326" s="1">
        <v>43435</v>
      </c>
      <c r="B1326">
        <v>49848</v>
      </c>
      <c r="C1326" t="s">
        <v>80</v>
      </c>
      <c r="D1326" t="s">
        <v>27</v>
      </c>
      <c r="E1326" t="s">
        <v>74</v>
      </c>
      <c r="F1326" s="5">
        <v>47</v>
      </c>
      <c r="G1326" t="str">
        <f>IF(Data[[#This Row],[Age]]&lt;25,"Under 25",IF(Data[[#This Row],[Age]]&lt;35,"25–34",IF(Data[[#This Row],[Age]]&lt;45,"35–44",IF(Data[[#This Row],[Age]]&lt;55,"45–54","55+"))))</f>
        <v>45–54</v>
      </c>
      <c r="H1326" t="s">
        <v>46</v>
      </c>
      <c r="I1326" t="s">
        <v>56</v>
      </c>
      <c r="J1326" t="s">
        <v>26</v>
      </c>
      <c r="K1326" s="1">
        <v>40983</v>
      </c>
      <c r="M1326" s="1" t="str">
        <f>IF(ISBLANK(Data[[#This Row],[EndDate]]),"Active","InActive")</f>
        <v>Active</v>
      </c>
      <c r="N1326" t="s">
        <v>57</v>
      </c>
      <c r="O1326" t="s">
        <v>76</v>
      </c>
      <c r="P1326" t="s">
        <v>40</v>
      </c>
      <c r="Q1326" s="2">
        <v>19035</v>
      </c>
    </row>
    <row r="1327" spans="1:17" x14ac:dyDescent="0.2">
      <c r="A1327" s="1">
        <v>43070</v>
      </c>
      <c r="B1327">
        <v>41692</v>
      </c>
      <c r="C1327" t="s">
        <v>80</v>
      </c>
      <c r="D1327" t="s">
        <v>38</v>
      </c>
      <c r="E1327" t="s">
        <v>45</v>
      </c>
      <c r="F1327" s="5">
        <v>47</v>
      </c>
      <c r="G1327" t="str">
        <f>IF(Data[[#This Row],[Age]]&lt;25,"Under 25",IF(Data[[#This Row],[Age]]&lt;35,"25–34",IF(Data[[#This Row],[Age]]&lt;45,"35–44",IF(Data[[#This Row],[Age]]&lt;55,"45–54","55+"))))</f>
        <v>45–54</v>
      </c>
      <c r="H1327" t="s">
        <v>31</v>
      </c>
      <c r="I1327" t="s">
        <v>56</v>
      </c>
      <c r="J1327" t="s">
        <v>35</v>
      </c>
      <c r="K1327" s="1">
        <v>41235</v>
      </c>
      <c r="M1327" s="1" t="str">
        <f>IF(ISBLANK(Data[[#This Row],[EndDate]]),"Active","InActive")</f>
        <v>Active</v>
      </c>
      <c r="N1327" t="s">
        <v>57</v>
      </c>
      <c r="O1327" t="s">
        <v>76</v>
      </c>
      <c r="P1327" t="s">
        <v>32</v>
      </c>
      <c r="Q1327" s="2">
        <v>5405</v>
      </c>
    </row>
    <row r="1328" spans="1:17" x14ac:dyDescent="0.2">
      <c r="A1328" s="1">
        <v>43070</v>
      </c>
      <c r="B1328">
        <v>49040</v>
      </c>
      <c r="C1328" t="s">
        <v>79</v>
      </c>
      <c r="D1328" t="s">
        <v>47</v>
      </c>
      <c r="E1328" t="s">
        <v>73</v>
      </c>
      <c r="F1328" s="5">
        <v>47</v>
      </c>
      <c r="G1328" t="str">
        <f>IF(Data[[#This Row],[Age]]&lt;25,"Under 25",IF(Data[[#This Row],[Age]]&lt;35,"25–34",IF(Data[[#This Row],[Age]]&lt;45,"35–44",IF(Data[[#This Row],[Age]]&lt;55,"45–54","55+"))))</f>
        <v>45–54</v>
      </c>
      <c r="H1328" t="s">
        <v>25</v>
      </c>
      <c r="I1328" t="s">
        <v>18</v>
      </c>
      <c r="J1328" t="s">
        <v>35</v>
      </c>
      <c r="K1328" s="1">
        <v>40331</v>
      </c>
      <c r="M1328" s="1" t="str">
        <f>IF(ISBLANK(Data[[#This Row],[EndDate]]),"Active","InActive")</f>
        <v>Active</v>
      </c>
      <c r="N1328" t="s">
        <v>20</v>
      </c>
      <c r="O1328" t="s">
        <v>76</v>
      </c>
      <c r="P1328" t="s">
        <v>32</v>
      </c>
      <c r="Q1328" s="2">
        <v>22607</v>
      </c>
    </row>
    <row r="1329" spans="1:17" x14ac:dyDescent="0.2">
      <c r="A1329" s="1">
        <v>43435</v>
      </c>
      <c r="B1329">
        <v>41544</v>
      </c>
      <c r="C1329" t="s">
        <v>80</v>
      </c>
      <c r="D1329" t="s">
        <v>41</v>
      </c>
      <c r="E1329" t="s">
        <v>68</v>
      </c>
      <c r="F1329" s="5">
        <v>47</v>
      </c>
      <c r="G1329" t="str">
        <f>IF(Data[[#This Row],[Age]]&lt;25,"Under 25",IF(Data[[#This Row],[Age]]&lt;35,"25–34",IF(Data[[#This Row],[Age]]&lt;45,"35–44",IF(Data[[#This Row],[Age]]&lt;55,"45–54","55+"))))</f>
        <v>45–54</v>
      </c>
      <c r="H1329" t="s">
        <v>25</v>
      </c>
      <c r="I1329" t="s">
        <v>18</v>
      </c>
      <c r="J1329" t="s">
        <v>35</v>
      </c>
      <c r="K1329" s="1">
        <v>41717</v>
      </c>
      <c r="M1329" s="1" t="str">
        <f>IF(ISBLANK(Data[[#This Row],[EndDate]]),"Active","InActive")</f>
        <v>Active</v>
      </c>
      <c r="N1329" t="s">
        <v>20</v>
      </c>
      <c r="O1329" t="s">
        <v>76</v>
      </c>
      <c r="P1329" t="s">
        <v>40</v>
      </c>
      <c r="Q1329" s="2">
        <v>36989</v>
      </c>
    </row>
    <row r="1330" spans="1:17" x14ac:dyDescent="0.2">
      <c r="A1330" s="1">
        <v>43435</v>
      </c>
      <c r="B1330">
        <v>42464</v>
      </c>
      <c r="C1330" t="s">
        <v>79</v>
      </c>
      <c r="D1330" t="s">
        <v>50</v>
      </c>
      <c r="E1330" t="s">
        <v>51</v>
      </c>
      <c r="F1330" s="5">
        <v>47</v>
      </c>
      <c r="G1330" t="str">
        <f>IF(Data[[#This Row],[Age]]&lt;25,"Under 25",IF(Data[[#This Row],[Age]]&lt;35,"25–34",IF(Data[[#This Row],[Age]]&lt;45,"35–44",IF(Data[[#This Row],[Age]]&lt;55,"45–54","55+"))))</f>
        <v>45–54</v>
      </c>
      <c r="H1330" t="s">
        <v>17</v>
      </c>
      <c r="I1330" t="s">
        <v>56</v>
      </c>
      <c r="J1330" t="s">
        <v>35</v>
      </c>
      <c r="K1330" s="1">
        <v>41783</v>
      </c>
      <c r="M1330" s="1" t="str">
        <f>IF(ISBLANK(Data[[#This Row],[EndDate]]),"Active","InActive")</f>
        <v>Active</v>
      </c>
      <c r="N1330" t="s">
        <v>57</v>
      </c>
      <c r="O1330" t="s">
        <v>76</v>
      </c>
      <c r="P1330" t="s">
        <v>40</v>
      </c>
      <c r="Q1330" s="2">
        <v>18377</v>
      </c>
    </row>
    <row r="1331" spans="1:17" x14ac:dyDescent="0.2">
      <c r="A1331" s="1">
        <v>43435</v>
      </c>
      <c r="B1331">
        <v>42872</v>
      </c>
      <c r="C1331" t="s">
        <v>80</v>
      </c>
      <c r="D1331" t="s">
        <v>43</v>
      </c>
      <c r="E1331" t="s">
        <v>44</v>
      </c>
      <c r="F1331" s="5">
        <v>47</v>
      </c>
      <c r="G1331" t="str">
        <f>IF(Data[[#This Row],[Age]]&lt;25,"Under 25",IF(Data[[#This Row],[Age]]&lt;35,"25–34",IF(Data[[#This Row],[Age]]&lt;45,"35–44",IF(Data[[#This Row],[Age]]&lt;55,"45–54","55+"))))</f>
        <v>45–54</v>
      </c>
      <c r="H1331" t="s">
        <v>59</v>
      </c>
      <c r="I1331" t="s">
        <v>18</v>
      </c>
      <c r="J1331" t="s">
        <v>35</v>
      </c>
      <c r="K1331" s="1">
        <v>41900</v>
      </c>
      <c r="M1331" s="1" t="str">
        <f>IF(ISBLANK(Data[[#This Row],[EndDate]]),"Active","InActive")</f>
        <v>Active</v>
      </c>
      <c r="N1331" t="s">
        <v>20</v>
      </c>
      <c r="O1331" t="s">
        <v>76</v>
      </c>
      <c r="P1331" t="s">
        <v>40</v>
      </c>
      <c r="Q1331" s="2">
        <v>18847</v>
      </c>
    </row>
    <row r="1332" spans="1:17" x14ac:dyDescent="0.2">
      <c r="A1332" s="1">
        <v>42705</v>
      </c>
      <c r="B1332">
        <v>31918</v>
      </c>
      <c r="C1332" t="s">
        <v>80</v>
      </c>
      <c r="D1332" t="s">
        <v>50</v>
      </c>
      <c r="E1332" t="s">
        <v>51</v>
      </c>
      <c r="F1332" s="5">
        <v>47</v>
      </c>
      <c r="G1332" t="str">
        <f>IF(Data[[#This Row],[Age]]&lt;25,"Under 25",IF(Data[[#This Row],[Age]]&lt;35,"25–34",IF(Data[[#This Row],[Age]]&lt;45,"35–44",IF(Data[[#This Row],[Age]]&lt;55,"45–54","55+"))))</f>
        <v>45–54</v>
      </c>
      <c r="H1332" t="s">
        <v>25</v>
      </c>
      <c r="I1332" t="s">
        <v>18</v>
      </c>
      <c r="J1332" t="s">
        <v>37</v>
      </c>
      <c r="K1332" s="1">
        <v>40992</v>
      </c>
      <c r="M1332" s="1" t="str">
        <f>IF(ISBLANK(Data[[#This Row],[EndDate]]),"Active","InActive")</f>
        <v>Active</v>
      </c>
      <c r="N1332" t="s">
        <v>20</v>
      </c>
      <c r="O1332" t="s">
        <v>76</v>
      </c>
      <c r="P1332" t="s">
        <v>22</v>
      </c>
      <c r="Q1332" s="2">
        <v>34451</v>
      </c>
    </row>
    <row r="1333" spans="1:17" x14ac:dyDescent="0.2">
      <c r="A1333" s="1">
        <v>43435</v>
      </c>
      <c r="B1333">
        <v>44038</v>
      </c>
      <c r="C1333" t="s">
        <v>80</v>
      </c>
      <c r="D1333" t="s">
        <v>29</v>
      </c>
      <c r="E1333" t="s">
        <v>33</v>
      </c>
      <c r="F1333" s="5">
        <v>47</v>
      </c>
      <c r="G1333" t="str">
        <f>IF(Data[[#This Row],[Age]]&lt;25,"Under 25",IF(Data[[#This Row],[Age]]&lt;35,"25–34",IF(Data[[#This Row],[Age]]&lt;45,"35–44",IF(Data[[#This Row],[Age]]&lt;55,"45–54","55+"))))</f>
        <v>45–54</v>
      </c>
      <c r="H1333" t="s">
        <v>17</v>
      </c>
      <c r="I1333" t="s">
        <v>18</v>
      </c>
      <c r="J1333" t="s">
        <v>37</v>
      </c>
      <c r="K1333" s="1">
        <v>41559</v>
      </c>
      <c r="M1333" s="1" t="str">
        <f>IF(ISBLANK(Data[[#This Row],[EndDate]]),"Active","InActive")</f>
        <v>Active</v>
      </c>
      <c r="N1333" t="s">
        <v>20</v>
      </c>
      <c r="O1333" t="s">
        <v>76</v>
      </c>
      <c r="P1333" t="s">
        <v>40</v>
      </c>
      <c r="Q1333" s="2">
        <v>12220</v>
      </c>
    </row>
    <row r="1334" spans="1:17" x14ac:dyDescent="0.2">
      <c r="A1334" s="1">
        <v>43435</v>
      </c>
      <c r="B1334">
        <v>44100</v>
      </c>
      <c r="C1334" t="s">
        <v>80</v>
      </c>
      <c r="D1334" t="s">
        <v>38</v>
      </c>
      <c r="E1334" t="s">
        <v>61</v>
      </c>
      <c r="F1334" s="5">
        <v>47</v>
      </c>
      <c r="G1334" t="str">
        <f>IF(Data[[#This Row],[Age]]&lt;25,"Under 25",IF(Data[[#This Row],[Age]]&lt;35,"25–34",IF(Data[[#This Row],[Age]]&lt;45,"35–44",IF(Data[[#This Row],[Age]]&lt;55,"45–54","55+"))))</f>
        <v>45–54</v>
      </c>
      <c r="H1334" t="s">
        <v>17</v>
      </c>
      <c r="I1334" t="s">
        <v>18</v>
      </c>
      <c r="J1334" t="s">
        <v>37</v>
      </c>
      <c r="K1334" s="1">
        <v>41866</v>
      </c>
      <c r="M1334" s="1" t="str">
        <f>IF(ISBLANK(Data[[#This Row],[EndDate]]),"Active","InActive")</f>
        <v>Active</v>
      </c>
      <c r="N1334" t="s">
        <v>20</v>
      </c>
      <c r="O1334" t="s">
        <v>76</v>
      </c>
      <c r="P1334" t="s">
        <v>40</v>
      </c>
      <c r="Q1334" s="2">
        <v>23265</v>
      </c>
    </row>
    <row r="1335" spans="1:17" x14ac:dyDescent="0.2">
      <c r="A1335" s="1">
        <v>43435</v>
      </c>
      <c r="B1335">
        <v>52652</v>
      </c>
      <c r="C1335" t="s">
        <v>80</v>
      </c>
      <c r="D1335" t="s">
        <v>27</v>
      </c>
      <c r="E1335" t="s">
        <v>72</v>
      </c>
      <c r="F1335" s="5">
        <v>47</v>
      </c>
      <c r="G1335" t="str">
        <f>IF(Data[[#This Row],[Age]]&lt;25,"Under 25",IF(Data[[#This Row],[Age]]&lt;35,"25–34",IF(Data[[#This Row],[Age]]&lt;45,"35–44",IF(Data[[#This Row],[Age]]&lt;55,"45–54","55+"))))</f>
        <v>45–54</v>
      </c>
      <c r="H1335" t="s">
        <v>49</v>
      </c>
      <c r="I1335" t="s">
        <v>56</v>
      </c>
      <c r="J1335" t="s">
        <v>37</v>
      </c>
      <c r="K1335" s="1">
        <v>41593</v>
      </c>
      <c r="M1335" s="1" t="str">
        <f>IF(ISBLANK(Data[[#This Row],[EndDate]]),"Active","InActive")</f>
        <v>Active</v>
      </c>
      <c r="N1335" t="s">
        <v>57</v>
      </c>
      <c r="O1335" t="s">
        <v>76</v>
      </c>
      <c r="P1335" t="s">
        <v>40</v>
      </c>
      <c r="Q1335" s="2">
        <v>28341</v>
      </c>
    </row>
    <row r="1336" spans="1:17" x14ac:dyDescent="0.2">
      <c r="A1336" s="1">
        <v>42705</v>
      </c>
      <c r="B1336">
        <v>40406</v>
      </c>
      <c r="C1336" t="s">
        <v>80</v>
      </c>
      <c r="D1336" t="s">
        <v>43</v>
      </c>
      <c r="E1336" t="s">
        <v>66</v>
      </c>
      <c r="F1336" s="5">
        <v>47</v>
      </c>
      <c r="G1336" t="str">
        <f>IF(Data[[#This Row],[Age]]&lt;25,"Under 25",IF(Data[[#This Row],[Age]]&lt;35,"25–34",IF(Data[[#This Row],[Age]]&lt;45,"35–44",IF(Data[[#This Row],[Age]]&lt;55,"45–54","55+"))))</f>
        <v>45–54</v>
      </c>
      <c r="H1336" t="s">
        <v>46</v>
      </c>
      <c r="I1336" t="s">
        <v>56</v>
      </c>
      <c r="J1336" t="s">
        <v>37</v>
      </c>
      <c r="K1336" s="1">
        <v>38451</v>
      </c>
      <c r="M1336" s="1" t="str">
        <f>IF(ISBLANK(Data[[#This Row],[EndDate]]),"Active","InActive")</f>
        <v>Active</v>
      </c>
      <c r="N1336" t="s">
        <v>57</v>
      </c>
      <c r="O1336" t="s">
        <v>76</v>
      </c>
      <c r="P1336" t="s">
        <v>22</v>
      </c>
      <c r="Q1336" s="2">
        <v>46812</v>
      </c>
    </row>
    <row r="1337" spans="1:17" x14ac:dyDescent="0.2">
      <c r="A1337" s="1">
        <v>43435</v>
      </c>
      <c r="B1337">
        <v>40542</v>
      </c>
      <c r="C1337" t="s">
        <v>80</v>
      </c>
      <c r="D1337" t="s">
        <v>15</v>
      </c>
      <c r="E1337" t="s">
        <v>58</v>
      </c>
      <c r="F1337" s="5">
        <v>47</v>
      </c>
      <c r="G1337" t="str">
        <f>IF(Data[[#This Row],[Age]]&lt;25,"Under 25",IF(Data[[#This Row],[Age]]&lt;35,"25–34",IF(Data[[#This Row],[Age]]&lt;45,"35–44",IF(Data[[#This Row],[Age]]&lt;55,"45–54","55+"))))</f>
        <v>45–54</v>
      </c>
      <c r="H1337" t="s">
        <v>31</v>
      </c>
      <c r="I1337" t="s">
        <v>18</v>
      </c>
      <c r="J1337" t="s">
        <v>37</v>
      </c>
      <c r="K1337" s="1">
        <v>38524</v>
      </c>
      <c r="M1337" s="1" t="str">
        <f>IF(ISBLANK(Data[[#This Row],[EndDate]]),"Active","InActive")</f>
        <v>Active</v>
      </c>
      <c r="N1337" t="s">
        <v>20</v>
      </c>
      <c r="O1337" t="s">
        <v>76</v>
      </c>
      <c r="P1337" t="s">
        <v>40</v>
      </c>
      <c r="Q1337" s="2">
        <v>9588</v>
      </c>
    </row>
    <row r="1338" spans="1:17" x14ac:dyDescent="0.2">
      <c r="A1338" s="1">
        <v>42705</v>
      </c>
      <c r="B1338">
        <v>43430</v>
      </c>
      <c r="C1338" t="s">
        <v>79</v>
      </c>
      <c r="D1338" t="s">
        <v>15</v>
      </c>
      <c r="E1338" t="s">
        <v>16</v>
      </c>
      <c r="F1338" s="5">
        <v>47</v>
      </c>
      <c r="G1338" t="str">
        <f>IF(Data[[#This Row],[Age]]&lt;25,"Under 25",IF(Data[[#This Row],[Age]]&lt;35,"25–34",IF(Data[[#This Row],[Age]]&lt;45,"35–44",IF(Data[[#This Row],[Age]]&lt;55,"45–54","55+"))))</f>
        <v>45–54</v>
      </c>
      <c r="H1338" t="s">
        <v>49</v>
      </c>
      <c r="I1338" t="s">
        <v>56</v>
      </c>
      <c r="J1338" t="s">
        <v>37</v>
      </c>
      <c r="K1338" s="1">
        <v>40802</v>
      </c>
      <c r="M1338" s="1" t="str">
        <f>IF(ISBLANK(Data[[#This Row],[EndDate]]),"Active","InActive")</f>
        <v>Active</v>
      </c>
      <c r="N1338" t="s">
        <v>57</v>
      </c>
      <c r="O1338" t="s">
        <v>76</v>
      </c>
      <c r="P1338" t="s">
        <v>22</v>
      </c>
      <c r="Q1338" s="2">
        <v>10669</v>
      </c>
    </row>
    <row r="1339" spans="1:17" x14ac:dyDescent="0.2">
      <c r="A1339" s="1">
        <v>43070</v>
      </c>
      <c r="B1339">
        <v>18230</v>
      </c>
      <c r="C1339" t="s">
        <v>80</v>
      </c>
      <c r="D1339" t="s">
        <v>50</v>
      </c>
      <c r="E1339" t="s">
        <v>63</v>
      </c>
      <c r="F1339" s="5">
        <v>47</v>
      </c>
      <c r="G1339" t="str">
        <f>IF(Data[[#This Row],[Age]]&lt;25,"Under 25",IF(Data[[#This Row],[Age]]&lt;35,"25–34",IF(Data[[#This Row],[Age]]&lt;45,"35–44",IF(Data[[#This Row],[Age]]&lt;55,"45–54","55+"))))</f>
        <v>45–54</v>
      </c>
      <c r="H1339" t="s">
        <v>49</v>
      </c>
      <c r="I1339" t="s">
        <v>18</v>
      </c>
      <c r="J1339" t="s">
        <v>37</v>
      </c>
      <c r="K1339" s="1">
        <v>39379</v>
      </c>
      <c r="M1339" s="1" t="str">
        <f>IF(ISBLANK(Data[[#This Row],[EndDate]]),"Active","InActive")</f>
        <v>Active</v>
      </c>
      <c r="N1339" t="s">
        <v>20</v>
      </c>
      <c r="O1339" t="s">
        <v>76</v>
      </c>
      <c r="P1339" t="s">
        <v>32</v>
      </c>
      <c r="Q1339" s="2">
        <v>32242</v>
      </c>
    </row>
    <row r="1340" spans="1:17" x14ac:dyDescent="0.2">
      <c r="A1340" s="1">
        <v>43070</v>
      </c>
      <c r="B1340">
        <v>43376</v>
      </c>
      <c r="C1340" t="s">
        <v>79</v>
      </c>
      <c r="D1340" t="s">
        <v>41</v>
      </c>
      <c r="E1340" t="s">
        <v>68</v>
      </c>
      <c r="F1340" s="5">
        <v>47</v>
      </c>
      <c r="G1340" t="str">
        <f>IF(Data[[#This Row],[Age]]&lt;25,"Under 25",IF(Data[[#This Row],[Age]]&lt;35,"25–34",IF(Data[[#This Row],[Age]]&lt;45,"35–44",IF(Data[[#This Row],[Age]]&lt;55,"45–54","55+"))))</f>
        <v>45–54</v>
      </c>
      <c r="H1340" t="s">
        <v>49</v>
      </c>
      <c r="I1340" t="s">
        <v>18</v>
      </c>
      <c r="J1340" t="s">
        <v>37</v>
      </c>
      <c r="K1340" s="1">
        <v>41198</v>
      </c>
      <c r="M1340" s="1" t="str">
        <f>IF(ISBLANK(Data[[#This Row],[EndDate]]),"Active","InActive")</f>
        <v>Active</v>
      </c>
      <c r="N1340" t="s">
        <v>20</v>
      </c>
      <c r="O1340" t="s">
        <v>76</v>
      </c>
      <c r="P1340" t="s">
        <v>32</v>
      </c>
      <c r="Q1340" s="2">
        <v>30127</v>
      </c>
    </row>
    <row r="1341" spans="1:17" x14ac:dyDescent="0.2">
      <c r="A1341" s="1">
        <v>43435</v>
      </c>
      <c r="B1341">
        <v>40452</v>
      </c>
      <c r="C1341" t="s">
        <v>80</v>
      </c>
      <c r="D1341" t="s">
        <v>43</v>
      </c>
      <c r="E1341" t="s">
        <v>60</v>
      </c>
      <c r="F1341" s="5">
        <v>47</v>
      </c>
      <c r="G1341" t="str">
        <f>IF(Data[[#This Row],[Age]]&lt;25,"Under 25",IF(Data[[#This Row],[Age]]&lt;35,"25–34",IF(Data[[#This Row],[Age]]&lt;45,"35–44",IF(Data[[#This Row],[Age]]&lt;55,"45–54","55+"))))</f>
        <v>45–54</v>
      </c>
      <c r="H1341" t="s">
        <v>49</v>
      </c>
      <c r="I1341" t="s">
        <v>18</v>
      </c>
      <c r="J1341" t="s">
        <v>37</v>
      </c>
      <c r="K1341" s="1">
        <v>41563</v>
      </c>
      <c r="M1341" s="1" t="str">
        <f>IF(ISBLANK(Data[[#This Row],[EndDate]]),"Active","InActive")</f>
        <v>Active</v>
      </c>
      <c r="N1341" t="s">
        <v>20</v>
      </c>
      <c r="O1341" t="s">
        <v>76</v>
      </c>
      <c r="P1341" t="s">
        <v>40</v>
      </c>
      <c r="Q1341" s="2">
        <v>28952</v>
      </c>
    </row>
    <row r="1342" spans="1:17" x14ac:dyDescent="0.2">
      <c r="A1342" s="1">
        <v>42705</v>
      </c>
      <c r="B1342">
        <v>56314</v>
      </c>
      <c r="C1342" t="s">
        <v>80</v>
      </c>
      <c r="D1342" t="s">
        <v>50</v>
      </c>
      <c r="E1342" t="s">
        <v>55</v>
      </c>
      <c r="F1342" s="5">
        <v>47</v>
      </c>
      <c r="G1342" t="str">
        <f>IF(Data[[#This Row],[Age]]&lt;25,"Under 25",IF(Data[[#This Row],[Age]]&lt;35,"25–34",IF(Data[[#This Row],[Age]]&lt;45,"35–44",IF(Data[[#This Row],[Age]]&lt;55,"45–54","55+"))))</f>
        <v>45–54</v>
      </c>
      <c r="H1342" t="s">
        <v>59</v>
      </c>
      <c r="I1342" t="s">
        <v>18</v>
      </c>
      <c r="J1342" t="s">
        <v>35</v>
      </c>
      <c r="K1342" s="1">
        <v>41130</v>
      </c>
      <c r="M1342" s="1" t="str">
        <f>IF(ISBLANK(Data[[#This Row],[EndDate]]),"Active","InActive")</f>
        <v>Active</v>
      </c>
      <c r="N1342" t="s">
        <v>20</v>
      </c>
      <c r="O1342" t="s">
        <v>76</v>
      </c>
      <c r="P1342" t="s">
        <v>22</v>
      </c>
      <c r="Q1342" s="2">
        <v>6721</v>
      </c>
    </row>
    <row r="1343" spans="1:17" x14ac:dyDescent="0.2">
      <c r="A1343" s="1">
        <v>42705</v>
      </c>
      <c r="B1343">
        <v>115388</v>
      </c>
      <c r="C1343" t="s">
        <v>80</v>
      </c>
      <c r="D1343" t="s">
        <v>47</v>
      </c>
      <c r="E1343" t="s">
        <v>48</v>
      </c>
      <c r="F1343" s="5">
        <v>47</v>
      </c>
      <c r="G1343" t="str">
        <f>IF(Data[[#This Row],[Age]]&lt;25,"Under 25",IF(Data[[#This Row],[Age]]&lt;35,"25–34",IF(Data[[#This Row],[Age]]&lt;45,"35–44",IF(Data[[#This Row],[Age]]&lt;55,"45–54","55+"))))</f>
        <v>45–54</v>
      </c>
      <c r="H1343" t="s">
        <v>34</v>
      </c>
      <c r="I1343" t="s">
        <v>18</v>
      </c>
      <c r="J1343" t="s">
        <v>35</v>
      </c>
      <c r="K1343" s="1">
        <v>41228</v>
      </c>
      <c r="M1343" s="1" t="str">
        <f>IF(ISBLANK(Data[[#This Row],[EndDate]]),"Active","InActive")</f>
        <v>Active</v>
      </c>
      <c r="N1343" t="s">
        <v>20</v>
      </c>
      <c r="O1343" t="s">
        <v>76</v>
      </c>
      <c r="P1343" t="s">
        <v>22</v>
      </c>
      <c r="Q1343" s="2">
        <v>14664</v>
      </c>
    </row>
    <row r="1344" spans="1:17" x14ac:dyDescent="0.2">
      <c r="A1344" s="1">
        <v>43435</v>
      </c>
      <c r="B1344">
        <v>92334</v>
      </c>
      <c r="C1344" t="s">
        <v>80</v>
      </c>
      <c r="D1344" t="s">
        <v>27</v>
      </c>
      <c r="E1344" t="s">
        <v>74</v>
      </c>
      <c r="F1344" s="5">
        <v>47</v>
      </c>
      <c r="G1344" t="str">
        <f>IF(Data[[#This Row],[Age]]&lt;25,"Under 25",IF(Data[[#This Row],[Age]]&lt;35,"25–34",IF(Data[[#This Row],[Age]]&lt;45,"35–44",IF(Data[[#This Row],[Age]]&lt;55,"45–54","55+"))))</f>
        <v>45–54</v>
      </c>
      <c r="H1344" t="s">
        <v>25</v>
      </c>
      <c r="I1344" t="s">
        <v>56</v>
      </c>
      <c r="J1344" t="s">
        <v>19</v>
      </c>
      <c r="K1344" s="1">
        <v>39820</v>
      </c>
      <c r="M1344" s="1" t="str">
        <f>IF(ISBLANK(Data[[#This Row],[EndDate]]),"Active","InActive")</f>
        <v>Active</v>
      </c>
      <c r="N1344" t="s">
        <v>57</v>
      </c>
      <c r="O1344" t="s">
        <v>76</v>
      </c>
      <c r="P1344" t="s">
        <v>40</v>
      </c>
      <c r="Q1344" s="2">
        <v>8084</v>
      </c>
    </row>
    <row r="1345" spans="1:17" x14ac:dyDescent="0.2">
      <c r="A1345" s="1">
        <v>43070</v>
      </c>
      <c r="B1345">
        <v>33262</v>
      </c>
      <c r="C1345" t="s">
        <v>79</v>
      </c>
      <c r="D1345" t="s">
        <v>52</v>
      </c>
      <c r="E1345" t="s">
        <v>53</v>
      </c>
      <c r="F1345" s="5">
        <v>48</v>
      </c>
      <c r="G1345" t="str">
        <f>IF(Data[[#This Row],[Age]]&lt;25,"Under 25",IF(Data[[#This Row],[Age]]&lt;35,"25–34",IF(Data[[#This Row],[Age]]&lt;45,"35–44",IF(Data[[#This Row],[Age]]&lt;55,"45–54","55+"))))</f>
        <v>45–54</v>
      </c>
      <c r="H1345" t="s">
        <v>34</v>
      </c>
      <c r="I1345" t="s">
        <v>56</v>
      </c>
      <c r="J1345" t="s">
        <v>37</v>
      </c>
      <c r="K1345" s="1">
        <v>39526</v>
      </c>
      <c r="M1345" s="1" t="str">
        <f>IF(ISBLANK(Data[[#This Row],[EndDate]]),"Active","InActive")</f>
        <v>Active</v>
      </c>
      <c r="N1345" t="s">
        <v>57</v>
      </c>
      <c r="O1345" t="s">
        <v>76</v>
      </c>
      <c r="P1345" t="s">
        <v>32</v>
      </c>
      <c r="Q1345" s="2">
        <v>13344</v>
      </c>
    </row>
    <row r="1346" spans="1:17" x14ac:dyDescent="0.2">
      <c r="A1346" s="1">
        <v>43070</v>
      </c>
      <c r="B1346">
        <v>53412</v>
      </c>
      <c r="C1346" t="s">
        <v>80</v>
      </c>
      <c r="D1346" t="s">
        <v>23</v>
      </c>
      <c r="E1346" t="s">
        <v>24</v>
      </c>
      <c r="F1346" s="5">
        <v>48</v>
      </c>
      <c r="G1346" t="str">
        <f>IF(Data[[#This Row],[Age]]&lt;25,"Under 25",IF(Data[[#This Row],[Age]]&lt;35,"25–34",IF(Data[[#This Row],[Age]]&lt;45,"35–44",IF(Data[[#This Row],[Age]]&lt;55,"45–54","55+"))))</f>
        <v>45–54</v>
      </c>
      <c r="H1346" t="s">
        <v>25</v>
      </c>
      <c r="I1346" t="s">
        <v>56</v>
      </c>
      <c r="J1346" t="s">
        <v>35</v>
      </c>
      <c r="K1346" s="1">
        <v>38832</v>
      </c>
      <c r="M1346" s="1" t="str">
        <f>IF(ISBLANK(Data[[#This Row],[EndDate]]),"Active","InActive")</f>
        <v>Active</v>
      </c>
      <c r="N1346" t="s">
        <v>57</v>
      </c>
      <c r="O1346" t="s">
        <v>76</v>
      </c>
      <c r="P1346" t="s">
        <v>32</v>
      </c>
      <c r="Q1346" s="2">
        <v>17280</v>
      </c>
    </row>
    <row r="1347" spans="1:17" x14ac:dyDescent="0.2">
      <c r="A1347" s="1">
        <v>43070</v>
      </c>
      <c r="B1347">
        <v>49550</v>
      </c>
      <c r="C1347" t="s">
        <v>80</v>
      </c>
      <c r="D1347" t="s">
        <v>41</v>
      </c>
      <c r="E1347" t="s">
        <v>42</v>
      </c>
      <c r="F1347" s="5">
        <v>48</v>
      </c>
      <c r="G1347" t="str">
        <f>IF(Data[[#This Row],[Age]]&lt;25,"Under 25",IF(Data[[#This Row],[Age]]&lt;35,"25–34",IF(Data[[#This Row],[Age]]&lt;45,"35–44",IF(Data[[#This Row],[Age]]&lt;55,"45–54","55+"))))</f>
        <v>45–54</v>
      </c>
      <c r="H1347" t="s">
        <v>17</v>
      </c>
      <c r="I1347" t="s">
        <v>56</v>
      </c>
      <c r="J1347" t="s">
        <v>26</v>
      </c>
      <c r="K1347" s="1">
        <v>39523</v>
      </c>
      <c r="M1347" s="1" t="str">
        <f>IF(ISBLANK(Data[[#This Row],[EndDate]]),"Active","InActive")</f>
        <v>Active</v>
      </c>
      <c r="N1347" t="s">
        <v>57</v>
      </c>
      <c r="O1347" t="s">
        <v>76</v>
      </c>
      <c r="P1347" t="s">
        <v>32</v>
      </c>
      <c r="Q1347" s="2">
        <v>25440</v>
      </c>
    </row>
    <row r="1348" spans="1:17" x14ac:dyDescent="0.2">
      <c r="A1348" s="1">
        <v>43435</v>
      </c>
      <c r="B1348">
        <v>41692</v>
      </c>
      <c r="C1348" t="s">
        <v>80</v>
      </c>
      <c r="D1348" t="s">
        <v>38</v>
      </c>
      <c r="E1348" t="s">
        <v>45</v>
      </c>
      <c r="F1348" s="5">
        <v>48</v>
      </c>
      <c r="G1348" t="str">
        <f>IF(Data[[#This Row],[Age]]&lt;25,"Under 25",IF(Data[[#This Row],[Age]]&lt;35,"25–34",IF(Data[[#This Row],[Age]]&lt;45,"35–44",IF(Data[[#This Row],[Age]]&lt;55,"45–54","55+"))))</f>
        <v>45–54</v>
      </c>
      <c r="H1348" t="s">
        <v>31</v>
      </c>
      <c r="I1348" t="s">
        <v>56</v>
      </c>
      <c r="J1348" t="s">
        <v>35</v>
      </c>
      <c r="K1348" s="1">
        <v>41235</v>
      </c>
      <c r="M1348" s="1" t="str">
        <f>IF(ISBLANK(Data[[#This Row],[EndDate]]),"Active","InActive")</f>
        <v>Active</v>
      </c>
      <c r="N1348" t="s">
        <v>57</v>
      </c>
      <c r="O1348" t="s">
        <v>76</v>
      </c>
      <c r="P1348" t="s">
        <v>40</v>
      </c>
      <c r="Q1348" s="2">
        <v>16320</v>
      </c>
    </row>
    <row r="1349" spans="1:17" x14ac:dyDescent="0.2">
      <c r="A1349" s="1">
        <v>43435</v>
      </c>
      <c r="B1349">
        <v>42922</v>
      </c>
      <c r="C1349" t="s">
        <v>80</v>
      </c>
      <c r="D1349" t="s">
        <v>27</v>
      </c>
      <c r="E1349" t="s">
        <v>74</v>
      </c>
      <c r="F1349" s="5">
        <v>48</v>
      </c>
      <c r="G1349" t="str">
        <f>IF(Data[[#This Row],[Age]]&lt;25,"Under 25",IF(Data[[#This Row],[Age]]&lt;35,"25–34",IF(Data[[#This Row],[Age]]&lt;45,"35–44",IF(Data[[#This Row],[Age]]&lt;55,"45–54","55+"))))</f>
        <v>45–54</v>
      </c>
      <c r="H1349" t="s">
        <v>25</v>
      </c>
      <c r="I1349" t="s">
        <v>18</v>
      </c>
      <c r="J1349" t="s">
        <v>35</v>
      </c>
      <c r="K1349" s="1">
        <v>41923</v>
      </c>
      <c r="M1349" s="1" t="str">
        <f>IF(ISBLANK(Data[[#This Row],[EndDate]]),"Active","InActive")</f>
        <v>Active</v>
      </c>
      <c r="N1349" t="s">
        <v>20</v>
      </c>
      <c r="O1349" t="s">
        <v>76</v>
      </c>
      <c r="P1349" t="s">
        <v>40</v>
      </c>
      <c r="Q1349" s="2">
        <v>23952</v>
      </c>
    </row>
    <row r="1350" spans="1:17" x14ac:dyDescent="0.2">
      <c r="A1350" s="1">
        <v>43435</v>
      </c>
      <c r="B1350">
        <v>49040</v>
      </c>
      <c r="C1350" t="s">
        <v>79</v>
      </c>
      <c r="D1350" t="s">
        <v>47</v>
      </c>
      <c r="E1350" t="s">
        <v>73</v>
      </c>
      <c r="F1350" s="5">
        <v>48</v>
      </c>
      <c r="G1350" t="str">
        <f>IF(Data[[#This Row],[Age]]&lt;25,"Under 25",IF(Data[[#This Row],[Age]]&lt;35,"25–34",IF(Data[[#This Row],[Age]]&lt;45,"35–44",IF(Data[[#This Row],[Age]]&lt;55,"45–54","55+"))))</f>
        <v>45–54</v>
      </c>
      <c r="H1350" t="s">
        <v>25</v>
      </c>
      <c r="I1350" t="s">
        <v>18</v>
      </c>
      <c r="J1350" t="s">
        <v>35</v>
      </c>
      <c r="K1350" s="1">
        <v>40331</v>
      </c>
      <c r="M1350" s="1" t="str">
        <f>IF(ISBLANK(Data[[#This Row],[EndDate]]),"Active","InActive")</f>
        <v>Active</v>
      </c>
      <c r="N1350" t="s">
        <v>20</v>
      </c>
      <c r="O1350" t="s">
        <v>76</v>
      </c>
      <c r="P1350" t="s">
        <v>40</v>
      </c>
      <c r="Q1350" s="2">
        <v>40416</v>
      </c>
    </row>
    <row r="1351" spans="1:17" x14ac:dyDescent="0.2">
      <c r="A1351" s="1">
        <v>43435</v>
      </c>
      <c r="B1351">
        <v>53388</v>
      </c>
      <c r="C1351" t="s">
        <v>80</v>
      </c>
      <c r="D1351" t="s">
        <v>23</v>
      </c>
      <c r="E1351" t="s">
        <v>24</v>
      </c>
      <c r="F1351" s="5">
        <v>48</v>
      </c>
      <c r="G1351" t="str">
        <f>IF(Data[[#This Row],[Age]]&lt;25,"Under 25",IF(Data[[#This Row],[Age]]&lt;35,"25–34",IF(Data[[#This Row],[Age]]&lt;45,"35–44",IF(Data[[#This Row],[Age]]&lt;55,"45–54","55+"))))</f>
        <v>45–54</v>
      </c>
      <c r="H1351" t="s">
        <v>59</v>
      </c>
      <c r="I1351" t="s">
        <v>18</v>
      </c>
      <c r="J1351" t="s">
        <v>35</v>
      </c>
      <c r="K1351" s="1">
        <v>41794</v>
      </c>
      <c r="M1351" s="1" t="str">
        <f>IF(ISBLANK(Data[[#This Row],[EndDate]]),"Active","InActive")</f>
        <v>Active</v>
      </c>
      <c r="N1351" t="s">
        <v>20</v>
      </c>
      <c r="O1351" t="s">
        <v>76</v>
      </c>
      <c r="P1351" t="s">
        <v>40</v>
      </c>
      <c r="Q1351" s="2">
        <v>21744</v>
      </c>
    </row>
    <row r="1352" spans="1:17" x14ac:dyDescent="0.2">
      <c r="A1352" s="1">
        <v>42705</v>
      </c>
      <c r="B1352">
        <v>43918</v>
      </c>
      <c r="C1352" t="s">
        <v>80</v>
      </c>
      <c r="D1352" t="s">
        <v>52</v>
      </c>
      <c r="E1352" t="s">
        <v>69</v>
      </c>
      <c r="F1352" s="5">
        <v>48</v>
      </c>
      <c r="G1352" t="str">
        <f>IF(Data[[#This Row],[Age]]&lt;25,"Under 25",IF(Data[[#This Row],[Age]]&lt;35,"25–34",IF(Data[[#This Row],[Age]]&lt;45,"35–44",IF(Data[[#This Row],[Age]]&lt;55,"45–54","55+"))))</f>
        <v>45–54</v>
      </c>
      <c r="H1352" t="s">
        <v>49</v>
      </c>
      <c r="I1352" t="s">
        <v>18</v>
      </c>
      <c r="J1352" t="s">
        <v>37</v>
      </c>
      <c r="K1352" s="1">
        <v>40246</v>
      </c>
      <c r="M1352" s="1" t="str">
        <f>IF(ISBLANK(Data[[#This Row],[EndDate]]),"Active","InActive")</f>
        <v>Active</v>
      </c>
      <c r="N1352" t="s">
        <v>20</v>
      </c>
      <c r="O1352" t="s">
        <v>76</v>
      </c>
      <c r="P1352" t="s">
        <v>22</v>
      </c>
      <c r="Q1352" s="2">
        <v>23856</v>
      </c>
    </row>
    <row r="1353" spans="1:17" x14ac:dyDescent="0.2">
      <c r="A1353" s="1">
        <v>42705</v>
      </c>
      <c r="B1353">
        <v>56516</v>
      </c>
      <c r="C1353" t="s">
        <v>80</v>
      </c>
      <c r="D1353" t="s">
        <v>41</v>
      </c>
      <c r="E1353" t="s">
        <v>62</v>
      </c>
      <c r="F1353" s="5">
        <v>48</v>
      </c>
      <c r="G1353" t="str">
        <f>IF(Data[[#This Row],[Age]]&lt;25,"Under 25",IF(Data[[#This Row],[Age]]&lt;35,"25–34",IF(Data[[#This Row],[Age]]&lt;45,"35–44",IF(Data[[#This Row],[Age]]&lt;55,"45–54","55+"))))</f>
        <v>45–54</v>
      </c>
      <c r="H1353" t="s">
        <v>34</v>
      </c>
      <c r="I1353" t="s">
        <v>56</v>
      </c>
      <c r="J1353" t="s">
        <v>37</v>
      </c>
      <c r="K1353" s="1">
        <v>30945</v>
      </c>
      <c r="M1353" s="1" t="str">
        <f>IF(ISBLANK(Data[[#This Row],[EndDate]]),"Active","InActive")</f>
        <v>Active</v>
      </c>
      <c r="N1353" t="s">
        <v>57</v>
      </c>
      <c r="O1353" t="s">
        <v>76</v>
      </c>
      <c r="P1353" t="s">
        <v>22</v>
      </c>
      <c r="Q1353" s="2">
        <v>32400</v>
      </c>
    </row>
    <row r="1354" spans="1:17" x14ac:dyDescent="0.2">
      <c r="A1354" s="1">
        <v>43070</v>
      </c>
      <c r="B1354">
        <v>31918</v>
      </c>
      <c r="C1354" t="s">
        <v>80</v>
      </c>
      <c r="D1354" t="s">
        <v>50</v>
      </c>
      <c r="E1354" t="s">
        <v>51</v>
      </c>
      <c r="F1354" s="5">
        <v>48</v>
      </c>
      <c r="G1354" t="str">
        <f>IF(Data[[#This Row],[Age]]&lt;25,"Under 25",IF(Data[[#This Row],[Age]]&lt;35,"25–34",IF(Data[[#This Row],[Age]]&lt;45,"35–44",IF(Data[[#This Row],[Age]]&lt;55,"45–54","55+"))))</f>
        <v>45–54</v>
      </c>
      <c r="H1354" t="s">
        <v>25</v>
      </c>
      <c r="I1354" t="s">
        <v>18</v>
      </c>
      <c r="J1354" t="s">
        <v>37</v>
      </c>
      <c r="K1354" s="1">
        <v>40992</v>
      </c>
      <c r="M1354" s="1" t="str">
        <f>IF(ISBLANK(Data[[#This Row],[EndDate]]),"Active","InActive")</f>
        <v>Active</v>
      </c>
      <c r="N1354" t="s">
        <v>20</v>
      </c>
      <c r="O1354" t="s">
        <v>76</v>
      </c>
      <c r="P1354" t="s">
        <v>32</v>
      </c>
      <c r="Q1354" s="2">
        <v>7152</v>
      </c>
    </row>
    <row r="1355" spans="1:17" x14ac:dyDescent="0.2">
      <c r="A1355" s="1">
        <v>43070</v>
      </c>
      <c r="B1355">
        <v>54582</v>
      </c>
      <c r="C1355" t="s">
        <v>80</v>
      </c>
      <c r="D1355" t="s">
        <v>23</v>
      </c>
      <c r="E1355" t="s">
        <v>71</v>
      </c>
      <c r="F1355" s="5">
        <v>48</v>
      </c>
      <c r="G1355" t="str">
        <f>IF(Data[[#This Row],[Age]]&lt;25,"Under 25",IF(Data[[#This Row],[Age]]&lt;35,"25–34",IF(Data[[#This Row],[Age]]&lt;45,"35–44",IF(Data[[#This Row],[Age]]&lt;55,"45–54","55+"))))</f>
        <v>45–54</v>
      </c>
      <c r="H1355" t="s">
        <v>25</v>
      </c>
      <c r="I1355" t="s">
        <v>18</v>
      </c>
      <c r="J1355" t="s">
        <v>37</v>
      </c>
      <c r="K1355" s="1">
        <v>41278</v>
      </c>
      <c r="M1355" s="1" t="str">
        <f>IF(ISBLANK(Data[[#This Row],[EndDate]]),"Active","InActive")</f>
        <v>Active</v>
      </c>
      <c r="N1355" t="s">
        <v>20</v>
      </c>
      <c r="O1355" t="s">
        <v>76</v>
      </c>
      <c r="P1355" t="s">
        <v>32</v>
      </c>
      <c r="Q1355" s="2">
        <v>37200</v>
      </c>
    </row>
    <row r="1356" spans="1:17" x14ac:dyDescent="0.2">
      <c r="A1356" s="1">
        <v>43070</v>
      </c>
      <c r="B1356">
        <v>40406</v>
      </c>
      <c r="C1356" t="s">
        <v>80</v>
      </c>
      <c r="D1356" t="s">
        <v>43</v>
      </c>
      <c r="E1356" t="s">
        <v>66</v>
      </c>
      <c r="F1356" s="5">
        <v>48</v>
      </c>
      <c r="G1356" t="str">
        <f>IF(Data[[#This Row],[Age]]&lt;25,"Under 25",IF(Data[[#This Row],[Age]]&lt;35,"25–34",IF(Data[[#This Row],[Age]]&lt;45,"35–44",IF(Data[[#This Row],[Age]]&lt;55,"45–54","55+"))))</f>
        <v>45–54</v>
      </c>
      <c r="H1356" t="s">
        <v>46</v>
      </c>
      <c r="I1356" t="s">
        <v>56</v>
      </c>
      <c r="J1356" t="s">
        <v>37</v>
      </c>
      <c r="K1356" s="1">
        <v>38451</v>
      </c>
      <c r="M1356" s="1" t="str">
        <f>IF(ISBLANK(Data[[#This Row],[EndDate]]),"Active","InActive")</f>
        <v>Active</v>
      </c>
      <c r="N1356" t="s">
        <v>57</v>
      </c>
      <c r="O1356" t="s">
        <v>76</v>
      </c>
      <c r="P1356" t="s">
        <v>32</v>
      </c>
      <c r="Q1356" s="2">
        <v>18912</v>
      </c>
    </row>
    <row r="1357" spans="1:17" x14ac:dyDescent="0.2">
      <c r="A1357" s="1">
        <v>43070</v>
      </c>
      <c r="B1357">
        <v>43430</v>
      </c>
      <c r="C1357" t="s">
        <v>79</v>
      </c>
      <c r="D1357" t="s">
        <v>15</v>
      </c>
      <c r="E1357" t="s">
        <v>16</v>
      </c>
      <c r="F1357" s="5">
        <v>48</v>
      </c>
      <c r="G1357" t="str">
        <f>IF(Data[[#This Row],[Age]]&lt;25,"Under 25",IF(Data[[#This Row],[Age]]&lt;35,"25–34",IF(Data[[#This Row],[Age]]&lt;45,"35–44",IF(Data[[#This Row],[Age]]&lt;55,"45–54","55+"))))</f>
        <v>45–54</v>
      </c>
      <c r="H1357" t="s">
        <v>49</v>
      </c>
      <c r="I1357" t="s">
        <v>56</v>
      </c>
      <c r="J1357" t="s">
        <v>37</v>
      </c>
      <c r="K1357" s="1">
        <v>40802</v>
      </c>
      <c r="M1357" s="1" t="str">
        <f>IF(ISBLANK(Data[[#This Row],[EndDate]]),"Active","InActive")</f>
        <v>Active</v>
      </c>
      <c r="N1357" t="s">
        <v>57</v>
      </c>
      <c r="O1357" t="s">
        <v>76</v>
      </c>
      <c r="P1357" t="s">
        <v>32</v>
      </c>
      <c r="Q1357" s="2">
        <v>16080</v>
      </c>
    </row>
    <row r="1358" spans="1:17" x14ac:dyDescent="0.2">
      <c r="A1358" s="1">
        <v>43435</v>
      </c>
      <c r="B1358">
        <v>43376</v>
      </c>
      <c r="C1358" t="s">
        <v>79</v>
      </c>
      <c r="D1358" t="s">
        <v>41</v>
      </c>
      <c r="E1358" t="s">
        <v>68</v>
      </c>
      <c r="F1358" s="5">
        <v>48</v>
      </c>
      <c r="G1358" t="str">
        <f>IF(Data[[#This Row],[Age]]&lt;25,"Under 25",IF(Data[[#This Row],[Age]]&lt;35,"25–34",IF(Data[[#This Row],[Age]]&lt;45,"35–44",IF(Data[[#This Row],[Age]]&lt;55,"45–54","55+"))))</f>
        <v>45–54</v>
      </c>
      <c r="H1358" t="s">
        <v>49</v>
      </c>
      <c r="I1358" t="s">
        <v>18</v>
      </c>
      <c r="J1358" t="s">
        <v>37</v>
      </c>
      <c r="K1358" s="1">
        <v>41198</v>
      </c>
      <c r="M1358" s="1" t="str">
        <f>IF(ISBLANK(Data[[#This Row],[EndDate]]),"Active","InActive")</f>
        <v>Active</v>
      </c>
      <c r="N1358" t="s">
        <v>20</v>
      </c>
      <c r="O1358" t="s">
        <v>76</v>
      </c>
      <c r="P1358" t="s">
        <v>40</v>
      </c>
      <c r="Q1358" s="2">
        <v>14256</v>
      </c>
    </row>
    <row r="1359" spans="1:17" x14ac:dyDescent="0.2">
      <c r="A1359" s="1">
        <v>42705</v>
      </c>
      <c r="B1359">
        <v>51548</v>
      </c>
      <c r="C1359" t="s">
        <v>80</v>
      </c>
      <c r="D1359" t="s">
        <v>23</v>
      </c>
      <c r="E1359" t="s">
        <v>24</v>
      </c>
      <c r="F1359" s="5">
        <v>48</v>
      </c>
      <c r="G1359" t="str">
        <f>IF(Data[[#This Row],[Age]]&lt;25,"Under 25",IF(Data[[#This Row],[Age]]&lt;35,"25–34",IF(Data[[#This Row],[Age]]&lt;45,"35–44",IF(Data[[#This Row],[Age]]&lt;55,"45–54","55+"))))</f>
        <v>45–54</v>
      </c>
      <c r="H1359" t="s">
        <v>46</v>
      </c>
      <c r="I1359" t="s">
        <v>56</v>
      </c>
      <c r="J1359" t="s">
        <v>35</v>
      </c>
      <c r="K1359" s="1">
        <v>39796</v>
      </c>
      <c r="M1359" s="1" t="str">
        <f>IF(ISBLANK(Data[[#This Row],[EndDate]]),"Active","InActive")</f>
        <v>Active</v>
      </c>
      <c r="N1359" t="s">
        <v>57</v>
      </c>
      <c r="O1359" t="s">
        <v>76</v>
      </c>
      <c r="P1359" t="s">
        <v>22</v>
      </c>
      <c r="Q1359" s="2">
        <v>6960</v>
      </c>
    </row>
    <row r="1360" spans="1:17" x14ac:dyDescent="0.2">
      <c r="A1360" s="1">
        <v>43070</v>
      </c>
      <c r="B1360">
        <v>56314</v>
      </c>
      <c r="C1360" t="s">
        <v>80</v>
      </c>
      <c r="D1360" t="s">
        <v>50</v>
      </c>
      <c r="E1360" t="s">
        <v>55</v>
      </c>
      <c r="F1360" s="5">
        <v>48</v>
      </c>
      <c r="G1360" t="str">
        <f>IF(Data[[#This Row],[Age]]&lt;25,"Under 25",IF(Data[[#This Row],[Age]]&lt;35,"25–34",IF(Data[[#This Row],[Age]]&lt;45,"35–44",IF(Data[[#This Row],[Age]]&lt;55,"45–54","55+"))))</f>
        <v>45–54</v>
      </c>
      <c r="H1360" t="s">
        <v>59</v>
      </c>
      <c r="I1360" t="s">
        <v>18</v>
      </c>
      <c r="J1360" t="s">
        <v>35</v>
      </c>
      <c r="K1360" s="1">
        <v>41130</v>
      </c>
      <c r="M1360" s="1" t="str">
        <f>IF(ISBLANK(Data[[#This Row],[EndDate]]),"Active","InActive")</f>
        <v>Active</v>
      </c>
      <c r="N1360" t="s">
        <v>20</v>
      </c>
      <c r="O1360" t="s">
        <v>76</v>
      </c>
      <c r="P1360" t="s">
        <v>32</v>
      </c>
      <c r="Q1360" s="2">
        <v>15408</v>
      </c>
    </row>
    <row r="1361" spans="1:17" x14ac:dyDescent="0.2">
      <c r="A1361" s="1">
        <v>42705</v>
      </c>
      <c r="B1361">
        <v>95692</v>
      </c>
      <c r="C1361" t="s">
        <v>80</v>
      </c>
      <c r="D1361" t="s">
        <v>47</v>
      </c>
      <c r="E1361" t="s">
        <v>48</v>
      </c>
      <c r="F1361" s="5">
        <v>48</v>
      </c>
      <c r="G1361" t="str">
        <f>IF(Data[[#This Row],[Age]]&lt;25,"Under 25",IF(Data[[#This Row],[Age]]&lt;35,"25–34",IF(Data[[#This Row],[Age]]&lt;45,"35–44",IF(Data[[#This Row],[Age]]&lt;55,"45–54","55+"))))</f>
        <v>45–54</v>
      </c>
      <c r="H1361" t="s">
        <v>25</v>
      </c>
      <c r="I1361" t="s">
        <v>56</v>
      </c>
      <c r="J1361" t="s">
        <v>19</v>
      </c>
      <c r="K1361" s="1">
        <v>40058</v>
      </c>
      <c r="M1361" s="1" t="str">
        <f>IF(ISBLANK(Data[[#This Row],[EndDate]]),"Active","InActive")</f>
        <v>Active</v>
      </c>
      <c r="N1361" t="s">
        <v>57</v>
      </c>
      <c r="O1361" t="s">
        <v>76</v>
      </c>
      <c r="P1361" t="s">
        <v>22</v>
      </c>
      <c r="Q1361" s="2">
        <v>42672</v>
      </c>
    </row>
    <row r="1362" spans="1:17" x14ac:dyDescent="0.2">
      <c r="A1362" s="1">
        <v>42705</v>
      </c>
      <c r="B1362">
        <v>97052</v>
      </c>
      <c r="C1362" t="s">
        <v>79</v>
      </c>
      <c r="D1362" t="s">
        <v>15</v>
      </c>
      <c r="E1362" t="s">
        <v>58</v>
      </c>
      <c r="F1362" s="5">
        <v>48</v>
      </c>
      <c r="G1362" t="str">
        <f>IF(Data[[#This Row],[Age]]&lt;25,"Under 25",IF(Data[[#This Row],[Age]]&lt;35,"25–34",IF(Data[[#This Row],[Age]]&lt;45,"35–44",IF(Data[[#This Row],[Age]]&lt;55,"45–54","55+"))))</f>
        <v>45–54</v>
      </c>
      <c r="H1362" t="s">
        <v>49</v>
      </c>
      <c r="I1362" t="s">
        <v>56</v>
      </c>
      <c r="J1362" t="s">
        <v>19</v>
      </c>
      <c r="K1362" s="1">
        <v>39582</v>
      </c>
      <c r="M1362" s="1" t="str">
        <f>IF(ISBLANK(Data[[#This Row],[EndDate]]),"Active","InActive")</f>
        <v>Active</v>
      </c>
      <c r="N1362" t="s">
        <v>57</v>
      </c>
      <c r="O1362" t="s">
        <v>76</v>
      </c>
      <c r="P1362" t="s">
        <v>22</v>
      </c>
      <c r="Q1362" s="2">
        <v>20784</v>
      </c>
    </row>
    <row r="1363" spans="1:17" x14ac:dyDescent="0.2">
      <c r="A1363" s="1">
        <v>43435</v>
      </c>
      <c r="B1363">
        <v>22208</v>
      </c>
      <c r="C1363" t="s">
        <v>79</v>
      </c>
      <c r="D1363" t="s">
        <v>27</v>
      </c>
      <c r="E1363" t="s">
        <v>72</v>
      </c>
      <c r="F1363" s="5">
        <v>48</v>
      </c>
      <c r="G1363" t="str">
        <f>IF(Data[[#This Row],[Age]]&lt;25,"Under 25",IF(Data[[#This Row],[Age]]&lt;35,"25–34",IF(Data[[#This Row],[Age]]&lt;45,"35–44",IF(Data[[#This Row],[Age]]&lt;55,"45–54","55+"))))</f>
        <v>45–54</v>
      </c>
      <c r="H1363" t="s">
        <v>49</v>
      </c>
      <c r="I1363" t="s">
        <v>56</v>
      </c>
      <c r="J1363" t="s">
        <v>35</v>
      </c>
      <c r="K1363" s="1">
        <v>41929</v>
      </c>
      <c r="M1363" s="1" t="str">
        <f>IF(ISBLANK(Data[[#This Row],[EndDate]]),"Active","InActive")</f>
        <v>Active</v>
      </c>
      <c r="N1363" t="s">
        <v>57</v>
      </c>
      <c r="O1363" t="s">
        <v>76</v>
      </c>
      <c r="P1363" t="s">
        <v>40</v>
      </c>
      <c r="Q1363" s="2">
        <v>19008</v>
      </c>
    </row>
    <row r="1364" spans="1:17" x14ac:dyDescent="0.2">
      <c r="A1364" s="1">
        <v>42705</v>
      </c>
      <c r="B1364">
        <v>53826</v>
      </c>
      <c r="C1364" t="s">
        <v>79</v>
      </c>
      <c r="D1364" t="s">
        <v>29</v>
      </c>
      <c r="E1364" t="s">
        <v>30</v>
      </c>
      <c r="F1364" s="5">
        <v>49</v>
      </c>
      <c r="G1364" t="str">
        <f>IF(Data[[#This Row],[Age]]&lt;25,"Under 25",IF(Data[[#This Row],[Age]]&lt;35,"25–34",IF(Data[[#This Row],[Age]]&lt;45,"35–44",IF(Data[[#This Row],[Age]]&lt;55,"45–54","55+"))))</f>
        <v>45–54</v>
      </c>
      <c r="H1364" t="s">
        <v>17</v>
      </c>
      <c r="I1364" t="s">
        <v>56</v>
      </c>
      <c r="J1364" t="s">
        <v>26</v>
      </c>
      <c r="K1364" s="1">
        <v>38958</v>
      </c>
      <c r="M1364" s="1" t="str">
        <f>IF(ISBLANK(Data[[#This Row],[EndDate]]),"Active","InActive")</f>
        <v>Active</v>
      </c>
      <c r="N1364" t="s">
        <v>57</v>
      </c>
      <c r="O1364" t="s">
        <v>76</v>
      </c>
      <c r="P1364" t="s">
        <v>22</v>
      </c>
      <c r="Q1364" s="2">
        <v>35378</v>
      </c>
    </row>
    <row r="1365" spans="1:17" x14ac:dyDescent="0.2">
      <c r="A1365" s="1">
        <v>43435</v>
      </c>
      <c r="B1365">
        <v>53412</v>
      </c>
      <c r="C1365" t="s">
        <v>80</v>
      </c>
      <c r="D1365" t="s">
        <v>23</v>
      </c>
      <c r="E1365" t="s">
        <v>24</v>
      </c>
      <c r="F1365" s="5">
        <v>49</v>
      </c>
      <c r="G1365" t="str">
        <f>IF(Data[[#This Row],[Age]]&lt;25,"Under 25",IF(Data[[#This Row],[Age]]&lt;35,"25–34",IF(Data[[#This Row],[Age]]&lt;45,"35–44",IF(Data[[#This Row],[Age]]&lt;55,"45–54","55+"))))</f>
        <v>45–54</v>
      </c>
      <c r="H1365" t="s">
        <v>25</v>
      </c>
      <c r="I1365" t="s">
        <v>56</v>
      </c>
      <c r="J1365" t="s">
        <v>35</v>
      </c>
      <c r="K1365" s="1">
        <v>38832</v>
      </c>
      <c r="M1365" s="1" t="str">
        <f>IF(ISBLANK(Data[[#This Row],[EndDate]]),"Active","InActive")</f>
        <v>Active</v>
      </c>
      <c r="N1365" t="s">
        <v>57</v>
      </c>
      <c r="O1365" t="s">
        <v>76</v>
      </c>
      <c r="P1365" t="s">
        <v>40</v>
      </c>
      <c r="Q1365" s="2">
        <v>20825</v>
      </c>
    </row>
    <row r="1366" spans="1:17" x14ac:dyDescent="0.2">
      <c r="A1366" s="1">
        <v>42705</v>
      </c>
      <c r="B1366">
        <v>54082</v>
      </c>
      <c r="C1366" t="s">
        <v>80</v>
      </c>
      <c r="D1366" t="s">
        <v>50</v>
      </c>
      <c r="E1366" t="s">
        <v>51</v>
      </c>
      <c r="F1366" s="5">
        <v>49</v>
      </c>
      <c r="G1366" t="str">
        <f>IF(Data[[#This Row],[Age]]&lt;25,"Under 25",IF(Data[[#This Row],[Age]]&lt;35,"25–34",IF(Data[[#This Row],[Age]]&lt;45,"35–44",IF(Data[[#This Row],[Age]]&lt;55,"45–54","55+"))))</f>
        <v>45–54</v>
      </c>
      <c r="H1366" t="s">
        <v>17</v>
      </c>
      <c r="I1366" t="s">
        <v>56</v>
      </c>
      <c r="J1366" t="s">
        <v>26</v>
      </c>
      <c r="K1366" s="1">
        <v>39317</v>
      </c>
      <c r="M1366" s="1" t="str">
        <f>IF(ISBLANK(Data[[#This Row],[EndDate]]),"Active","InActive")</f>
        <v>Active</v>
      </c>
      <c r="N1366" t="s">
        <v>57</v>
      </c>
      <c r="O1366" t="s">
        <v>76</v>
      </c>
      <c r="P1366" t="s">
        <v>22</v>
      </c>
      <c r="Q1366" s="2">
        <v>34104</v>
      </c>
    </row>
    <row r="1367" spans="1:17" x14ac:dyDescent="0.2">
      <c r="A1367" s="1">
        <v>42705</v>
      </c>
      <c r="B1367">
        <v>101384</v>
      </c>
      <c r="C1367" t="s">
        <v>79</v>
      </c>
      <c r="D1367" t="s">
        <v>15</v>
      </c>
      <c r="E1367" t="s">
        <v>58</v>
      </c>
      <c r="F1367" s="5">
        <v>49</v>
      </c>
      <c r="G1367" t="str">
        <f>IF(Data[[#This Row],[Age]]&lt;25,"Under 25",IF(Data[[#This Row],[Age]]&lt;35,"25–34",IF(Data[[#This Row],[Age]]&lt;45,"35–44",IF(Data[[#This Row],[Age]]&lt;55,"45–54","55+"))))</f>
        <v>45–54</v>
      </c>
      <c r="H1367" t="s">
        <v>49</v>
      </c>
      <c r="I1367" t="s">
        <v>56</v>
      </c>
      <c r="J1367" t="s">
        <v>26</v>
      </c>
      <c r="K1367" s="1">
        <v>41096</v>
      </c>
      <c r="L1367" s="1">
        <v>41131</v>
      </c>
      <c r="M1367" s="1" t="str">
        <f>IF(ISBLANK(Data[[#This Row],[EndDate]]),"Active","InActive")</f>
        <v>InActive</v>
      </c>
      <c r="N1367" t="s">
        <v>57</v>
      </c>
      <c r="O1367" t="s">
        <v>76</v>
      </c>
      <c r="P1367" t="s">
        <v>22</v>
      </c>
      <c r="Q1367" s="2">
        <v>10976</v>
      </c>
    </row>
    <row r="1368" spans="1:17" x14ac:dyDescent="0.2">
      <c r="A1368" s="1">
        <v>43435</v>
      </c>
      <c r="B1368">
        <v>49550</v>
      </c>
      <c r="C1368" t="s">
        <v>80</v>
      </c>
      <c r="D1368" t="s">
        <v>41</v>
      </c>
      <c r="E1368" t="s">
        <v>42</v>
      </c>
      <c r="F1368" s="5">
        <v>49</v>
      </c>
      <c r="G1368" t="str">
        <f>IF(Data[[#This Row],[Age]]&lt;25,"Under 25",IF(Data[[#This Row],[Age]]&lt;35,"25–34",IF(Data[[#This Row],[Age]]&lt;45,"35–44",IF(Data[[#This Row],[Age]]&lt;55,"45–54","55+"))))</f>
        <v>45–54</v>
      </c>
      <c r="H1368" t="s">
        <v>17</v>
      </c>
      <c r="I1368" t="s">
        <v>56</v>
      </c>
      <c r="J1368" t="s">
        <v>26</v>
      </c>
      <c r="K1368" s="1">
        <v>39523</v>
      </c>
      <c r="M1368" s="1" t="str">
        <f>IF(ISBLANK(Data[[#This Row],[EndDate]]),"Active","InActive")</f>
        <v>Active</v>
      </c>
      <c r="N1368" t="s">
        <v>57</v>
      </c>
      <c r="O1368" t="s">
        <v>76</v>
      </c>
      <c r="P1368" t="s">
        <v>40</v>
      </c>
      <c r="Q1368" s="2">
        <v>22638</v>
      </c>
    </row>
    <row r="1369" spans="1:17" x14ac:dyDescent="0.2">
      <c r="A1369" s="1">
        <v>42705</v>
      </c>
      <c r="B1369">
        <v>51922</v>
      </c>
      <c r="C1369" t="s">
        <v>80</v>
      </c>
      <c r="D1369" t="s">
        <v>27</v>
      </c>
      <c r="E1369" t="s">
        <v>72</v>
      </c>
      <c r="F1369" s="5">
        <v>49</v>
      </c>
      <c r="G1369" t="str">
        <f>IF(Data[[#This Row],[Age]]&lt;25,"Under 25",IF(Data[[#This Row],[Age]]&lt;35,"25–34",IF(Data[[#This Row],[Age]]&lt;45,"35–44",IF(Data[[#This Row],[Age]]&lt;55,"45–54","55+"))))</f>
        <v>45–54</v>
      </c>
      <c r="H1369" t="s">
        <v>17</v>
      </c>
      <c r="I1369" t="s">
        <v>56</v>
      </c>
      <c r="J1369" t="s">
        <v>35</v>
      </c>
      <c r="K1369" s="1">
        <v>38211</v>
      </c>
      <c r="M1369" s="1" t="str">
        <f>IF(ISBLANK(Data[[#This Row],[EndDate]]),"Active","InActive")</f>
        <v>Active</v>
      </c>
      <c r="N1369" t="s">
        <v>57</v>
      </c>
      <c r="O1369" t="s">
        <v>76</v>
      </c>
      <c r="P1369" t="s">
        <v>22</v>
      </c>
      <c r="Q1369" s="2">
        <v>20923</v>
      </c>
    </row>
    <row r="1370" spans="1:17" x14ac:dyDescent="0.2">
      <c r="A1370" s="1">
        <v>43435</v>
      </c>
      <c r="B1370">
        <v>42328</v>
      </c>
      <c r="C1370" t="s">
        <v>80</v>
      </c>
      <c r="D1370" t="s">
        <v>43</v>
      </c>
      <c r="E1370" t="s">
        <v>44</v>
      </c>
      <c r="F1370" s="5">
        <v>49</v>
      </c>
      <c r="G1370" t="str">
        <f>IF(Data[[#This Row],[Age]]&lt;25,"Under 25",IF(Data[[#This Row],[Age]]&lt;35,"25–34",IF(Data[[#This Row],[Age]]&lt;45,"35–44",IF(Data[[#This Row],[Age]]&lt;55,"45–54","55+"))))</f>
        <v>45–54</v>
      </c>
      <c r="H1370" t="s">
        <v>46</v>
      </c>
      <c r="I1370" t="s">
        <v>18</v>
      </c>
      <c r="J1370" t="s">
        <v>35</v>
      </c>
      <c r="K1370" s="1">
        <v>41791</v>
      </c>
      <c r="M1370" s="1" t="str">
        <f>IF(ISBLANK(Data[[#This Row],[EndDate]]),"Active","InActive")</f>
        <v>Active</v>
      </c>
      <c r="N1370" t="s">
        <v>20</v>
      </c>
      <c r="O1370" t="s">
        <v>76</v>
      </c>
      <c r="P1370" t="s">
        <v>40</v>
      </c>
      <c r="Q1370" s="2">
        <v>39641</v>
      </c>
    </row>
    <row r="1371" spans="1:17" x14ac:dyDescent="0.2">
      <c r="A1371" s="1">
        <v>43435</v>
      </c>
      <c r="B1371">
        <v>53236</v>
      </c>
      <c r="C1371" t="s">
        <v>80</v>
      </c>
      <c r="D1371" t="s">
        <v>29</v>
      </c>
      <c r="E1371" t="s">
        <v>33</v>
      </c>
      <c r="F1371" s="5">
        <v>49</v>
      </c>
      <c r="G1371" t="str">
        <f>IF(Data[[#This Row],[Age]]&lt;25,"Under 25",IF(Data[[#This Row],[Age]]&lt;35,"25–34",IF(Data[[#This Row],[Age]]&lt;45,"35–44",IF(Data[[#This Row],[Age]]&lt;55,"45–54","55+"))))</f>
        <v>45–54</v>
      </c>
      <c r="H1371" t="s">
        <v>46</v>
      </c>
      <c r="I1371" t="s">
        <v>56</v>
      </c>
      <c r="J1371" t="s">
        <v>35</v>
      </c>
      <c r="K1371" s="1">
        <v>41774</v>
      </c>
      <c r="M1371" s="1" t="str">
        <f>IF(ISBLANK(Data[[#This Row],[EndDate]]),"Active","InActive")</f>
        <v>Active</v>
      </c>
      <c r="N1371" t="s">
        <v>57</v>
      </c>
      <c r="O1371" t="s">
        <v>76</v>
      </c>
      <c r="P1371" t="s">
        <v>40</v>
      </c>
      <c r="Q1371" s="2">
        <v>28665</v>
      </c>
    </row>
    <row r="1372" spans="1:17" x14ac:dyDescent="0.2">
      <c r="A1372" s="1">
        <v>42705</v>
      </c>
      <c r="B1372">
        <v>49188</v>
      </c>
      <c r="C1372" t="s">
        <v>79</v>
      </c>
      <c r="D1372" t="s">
        <v>41</v>
      </c>
      <c r="E1372" t="s">
        <v>62</v>
      </c>
      <c r="F1372" s="5">
        <v>49</v>
      </c>
      <c r="G1372" t="str">
        <f>IF(Data[[#This Row],[Age]]&lt;25,"Under 25",IF(Data[[#This Row],[Age]]&lt;35,"25–34",IF(Data[[#This Row],[Age]]&lt;45,"35–44",IF(Data[[#This Row],[Age]]&lt;55,"45–54","55+"))))</f>
        <v>45–54</v>
      </c>
      <c r="H1372" t="s">
        <v>46</v>
      </c>
      <c r="I1372" t="s">
        <v>56</v>
      </c>
      <c r="J1372" t="s">
        <v>37</v>
      </c>
      <c r="K1372" s="1">
        <v>29655</v>
      </c>
      <c r="M1372" s="1" t="str">
        <f>IF(ISBLANK(Data[[#This Row],[EndDate]]),"Active","InActive")</f>
        <v>Active</v>
      </c>
      <c r="N1372" t="s">
        <v>57</v>
      </c>
      <c r="O1372" t="s">
        <v>76</v>
      </c>
      <c r="P1372" t="s">
        <v>22</v>
      </c>
      <c r="Q1372" s="2">
        <v>19502</v>
      </c>
    </row>
    <row r="1373" spans="1:17" x14ac:dyDescent="0.2">
      <c r="A1373" s="1">
        <v>42705</v>
      </c>
      <c r="B1373">
        <v>56498</v>
      </c>
      <c r="C1373" t="s">
        <v>80</v>
      </c>
      <c r="D1373" t="s">
        <v>15</v>
      </c>
      <c r="E1373" t="s">
        <v>16</v>
      </c>
      <c r="F1373" s="5">
        <v>49</v>
      </c>
      <c r="G1373" t="str">
        <f>IF(Data[[#This Row],[Age]]&lt;25,"Under 25",IF(Data[[#This Row],[Age]]&lt;35,"25–34",IF(Data[[#This Row],[Age]]&lt;45,"35–44",IF(Data[[#This Row],[Age]]&lt;55,"45–54","55+"))))</f>
        <v>45–54</v>
      </c>
      <c r="H1373" t="s">
        <v>59</v>
      </c>
      <c r="I1373" t="s">
        <v>56</v>
      </c>
      <c r="J1373" t="s">
        <v>37</v>
      </c>
      <c r="K1373" s="1">
        <v>36552</v>
      </c>
      <c r="M1373" s="1" t="str">
        <f>IF(ISBLANK(Data[[#This Row],[EndDate]]),"Active","InActive")</f>
        <v>Active</v>
      </c>
      <c r="N1373" t="s">
        <v>57</v>
      </c>
      <c r="O1373" t="s">
        <v>76</v>
      </c>
      <c r="P1373" t="s">
        <v>22</v>
      </c>
      <c r="Q1373" s="2">
        <v>8526</v>
      </c>
    </row>
    <row r="1374" spans="1:17" x14ac:dyDescent="0.2">
      <c r="A1374" s="1">
        <v>43070</v>
      </c>
      <c r="B1374">
        <v>43918</v>
      </c>
      <c r="C1374" t="s">
        <v>80</v>
      </c>
      <c r="D1374" t="s">
        <v>52</v>
      </c>
      <c r="E1374" t="s">
        <v>69</v>
      </c>
      <c r="F1374" s="5">
        <v>49</v>
      </c>
      <c r="G1374" t="str">
        <f>IF(Data[[#This Row],[Age]]&lt;25,"Under 25",IF(Data[[#This Row],[Age]]&lt;35,"25–34",IF(Data[[#This Row],[Age]]&lt;45,"35–44",IF(Data[[#This Row],[Age]]&lt;55,"45–54","55+"))))</f>
        <v>45–54</v>
      </c>
      <c r="H1374" t="s">
        <v>49</v>
      </c>
      <c r="I1374" t="s">
        <v>18</v>
      </c>
      <c r="J1374" t="s">
        <v>37</v>
      </c>
      <c r="K1374" s="1">
        <v>40246</v>
      </c>
      <c r="M1374" s="1" t="str">
        <f>IF(ISBLANK(Data[[#This Row],[EndDate]]),"Active","InActive")</f>
        <v>Active</v>
      </c>
      <c r="N1374" t="s">
        <v>20</v>
      </c>
      <c r="O1374" t="s">
        <v>76</v>
      </c>
      <c r="P1374" t="s">
        <v>32</v>
      </c>
      <c r="Q1374" s="2">
        <v>37828</v>
      </c>
    </row>
    <row r="1375" spans="1:17" x14ac:dyDescent="0.2">
      <c r="A1375" s="1">
        <v>43070</v>
      </c>
      <c r="B1375">
        <v>56516</v>
      </c>
      <c r="C1375" t="s">
        <v>80</v>
      </c>
      <c r="D1375" t="s">
        <v>41</v>
      </c>
      <c r="E1375" t="s">
        <v>62</v>
      </c>
      <c r="F1375" s="5">
        <v>49</v>
      </c>
      <c r="G1375" t="str">
        <f>IF(Data[[#This Row],[Age]]&lt;25,"Under 25",IF(Data[[#This Row],[Age]]&lt;35,"25–34",IF(Data[[#This Row],[Age]]&lt;45,"35–44",IF(Data[[#This Row],[Age]]&lt;55,"45–54","55+"))))</f>
        <v>45–54</v>
      </c>
      <c r="H1375" t="s">
        <v>34</v>
      </c>
      <c r="I1375" t="s">
        <v>56</v>
      </c>
      <c r="J1375" t="s">
        <v>37</v>
      </c>
      <c r="K1375" s="1">
        <v>30945</v>
      </c>
      <c r="M1375" s="1" t="str">
        <f>IF(ISBLANK(Data[[#This Row],[EndDate]]),"Active","InActive")</f>
        <v>Active</v>
      </c>
      <c r="N1375" t="s">
        <v>57</v>
      </c>
      <c r="O1375" t="s">
        <v>76</v>
      </c>
      <c r="P1375" t="s">
        <v>32</v>
      </c>
      <c r="Q1375" s="2">
        <v>15484</v>
      </c>
    </row>
    <row r="1376" spans="1:17" x14ac:dyDescent="0.2">
      <c r="A1376" s="1">
        <v>42705</v>
      </c>
      <c r="B1376">
        <v>49232</v>
      </c>
      <c r="C1376" t="s">
        <v>80</v>
      </c>
      <c r="D1376" t="s">
        <v>23</v>
      </c>
      <c r="E1376" t="s">
        <v>24</v>
      </c>
      <c r="F1376" s="5">
        <v>49</v>
      </c>
      <c r="G1376" t="str">
        <f>IF(Data[[#This Row],[Age]]&lt;25,"Under 25",IF(Data[[#This Row],[Age]]&lt;35,"25–34",IF(Data[[#This Row],[Age]]&lt;45,"35–44",IF(Data[[#This Row],[Age]]&lt;55,"45–54","55+"))))</f>
        <v>45–54</v>
      </c>
      <c r="H1376" t="s">
        <v>34</v>
      </c>
      <c r="I1376" t="s">
        <v>56</v>
      </c>
      <c r="J1376" t="s">
        <v>37</v>
      </c>
      <c r="K1376" s="1">
        <v>41095</v>
      </c>
      <c r="M1376" s="1" t="str">
        <f>IF(ISBLANK(Data[[#This Row],[EndDate]]),"Active","InActive")</f>
        <v>Active</v>
      </c>
      <c r="N1376" t="s">
        <v>57</v>
      </c>
      <c r="O1376" t="s">
        <v>76</v>
      </c>
      <c r="P1376" t="s">
        <v>22</v>
      </c>
      <c r="Q1376" s="2">
        <v>35329</v>
      </c>
    </row>
    <row r="1377" spans="1:17" x14ac:dyDescent="0.2">
      <c r="A1377" s="1">
        <v>43435</v>
      </c>
      <c r="B1377">
        <v>54582</v>
      </c>
      <c r="C1377" t="s">
        <v>80</v>
      </c>
      <c r="D1377" t="s">
        <v>23</v>
      </c>
      <c r="E1377" t="s">
        <v>71</v>
      </c>
      <c r="F1377" s="5">
        <v>49</v>
      </c>
      <c r="G1377" t="str">
        <f>IF(Data[[#This Row],[Age]]&lt;25,"Under 25",IF(Data[[#This Row],[Age]]&lt;35,"25–34",IF(Data[[#This Row],[Age]]&lt;45,"35–44",IF(Data[[#This Row],[Age]]&lt;55,"45–54","55+"))))</f>
        <v>45–54</v>
      </c>
      <c r="H1377" t="s">
        <v>25</v>
      </c>
      <c r="I1377" t="s">
        <v>18</v>
      </c>
      <c r="J1377" t="s">
        <v>37</v>
      </c>
      <c r="K1377" s="1">
        <v>41278</v>
      </c>
      <c r="M1377" s="1" t="str">
        <f>IF(ISBLANK(Data[[#This Row],[EndDate]]),"Active","InActive")</f>
        <v>Active</v>
      </c>
      <c r="N1377" t="s">
        <v>20</v>
      </c>
      <c r="O1377" t="s">
        <v>76</v>
      </c>
      <c r="P1377" t="s">
        <v>40</v>
      </c>
      <c r="Q1377" s="2">
        <v>39788</v>
      </c>
    </row>
    <row r="1378" spans="1:17" x14ac:dyDescent="0.2">
      <c r="A1378" s="1">
        <v>43435</v>
      </c>
      <c r="B1378">
        <v>40406</v>
      </c>
      <c r="C1378" t="s">
        <v>80</v>
      </c>
      <c r="D1378" t="s">
        <v>43</v>
      </c>
      <c r="E1378" t="s">
        <v>66</v>
      </c>
      <c r="F1378" s="5">
        <v>49</v>
      </c>
      <c r="G1378" t="str">
        <f>IF(Data[[#This Row],[Age]]&lt;25,"Under 25",IF(Data[[#This Row],[Age]]&lt;35,"25–34",IF(Data[[#This Row],[Age]]&lt;45,"35–44",IF(Data[[#This Row],[Age]]&lt;55,"45–54","55+"))))</f>
        <v>45–54</v>
      </c>
      <c r="H1378" t="s">
        <v>46</v>
      </c>
      <c r="I1378" t="s">
        <v>56</v>
      </c>
      <c r="J1378" t="s">
        <v>37</v>
      </c>
      <c r="K1378" s="1">
        <v>38451</v>
      </c>
      <c r="M1378" s="1" t="str">
        <f>IF(ISBLANK(Data[[#This Row],[EndDate]]),"Active","InActive")</f>
        <v>Active</v>
      </c>
      <c r="N1378" t="s">
        <v>57</v>
      </c>
      <c r="O1378" t="s">
        <v>76</v>
      </c>
      <c r="P1378" t="s">
        <v>40</v>
      </c>
      <c r="Q1378" s="2">
        <v>41944</v>
      </c>
    </row>
    <row r="1379" spans="1:17" x14ac:dyDescent="0.2">
      <c r="A1379" s="1">
        <v>43435</v>
      </c>
      <c r="B1379">
        <v>43430</v>
      </c>
      <c r="C1379" t="s">
        <v>79</v>
      </c>
      <c r="D1379" t="s">
        <v>15</v>
      </c>
      <c r="E1379" t="s">
        <v>16</v>
      </c>
      <c r="F1379" s="5">
        <v>49</v>
      </c>
      <c r="G1379" t="str">
        <f>IF(Data[[#This Row],[Age]]&lt;25,"Under 25",IF(Data[[#This Row],[Age]]&lt;35,"25–34",IF(Data[[#This Row],[Age]]&lt;45,"35–44",IF(Data[[#This Row],[Age]]&lt;55,"45–54","55+"))))</f>
        <v>45–54</v>
      </c>
      <c r="H1379" t="s">
        <v>49</v>
      </c>
      <c r="I1379" t="s">
        <v>56</v>
      </c>
      <c r="J1379" t="s">
        <v>37</v>
      </c>
      <c r="K1379" s="1">
        <v>40802</v>
      </c>
      <c r="M1379" s="1" t="str">
        <f>IF(ISBLANK(Data[[#This Row],[EndDate]]),"Active","InActive")</f>
        <v>Active</v>
      </c>
      <c r="N1379" t="s">
        <v>57</v>
      </c>
      <c r="O1379" t="s">
        <v>76</v>
      </c>
      <c r="P1379" t="s">
        <v>40</v>
      </c>
      <c r="Q1379" s="2">
        <v>24696</v>
      </c>
    </row>
    <row r="1380" spans="1:17" x14ac:dyDescent="0.2">
      <c r="A1380" s="1">
        <v>43070</v>
      </c>
      <c r="B1380">
        <v>51548</v>
      </c>
      <c r="C1380" t="s">
        <v>80</v>
      </c>
      <c r="D1380" t="s">
        <v>23</v>
      </c>
      <c r="E1380" t="s">
        <v>24</v>
      </c>
      <c r="F1380" s="5">
        <v>49</v>
      </c>
      <c r="G1380" t="str">
        <f>IF(Data[[#This Row],[Age]]&lt;25,"Under 25",IF(Data[[#This Row],[Age]]&lt;35,"25–34",IF(Data[[#This Row],[Age]]&lt;45,"35–44",IF(Data[[#This Row],[Age]]&lt;55,"45–54","55+"))))</f>
        <v>45–54</v>
      </c>
      <c r="H1380" t="s">
        <v>46</v>
      </c>
      <c r="I1380" t="s">
        <v>56</v>
      </c>
      <c r="J1380" t="s">
        <v>35</v>
      </c>
      <c r="K1380" s="1">
        <v>39796</v>
      </c>
      <c r="M1380" s="1" t="str">
        <f>IF(ISBLANK(Data[[#This Row],[EndDate]]),"Active","InActive")</f>
        <v>Active</v>
      </c>
      <c r="N1380" t="s">
        <v>57</v>
      </c>
      <c r="O1380" t="s">
        <v>76</v>
      </c>
      <c r="P1380" t="s">
        <v>32</v>
      </c>
      <c r="Q1380" s="2">
        <v>48020</v>
      </c>
    </row>
    <row r="1381" spans="1:17" x14ac:dyDescent="0.2">
      <c r="A1381" s="1">
        <v>43435</v>
      </c>
      <c r="B1381">
        <v>56314</v>
      </c>
      <c r="C1381" t="s">
        <v>80</v>
      </c>
      <c r="D1381" t="s">
        <v>50</v>
      </c>
      <c r="E1381" t="s">
        <v>55</v>
      </c>
      <c r="F1381" s="5">
        <v>49</v>
      </c>
      <c r="G1381" t="str">
        <f>IF(Data[[#This Row],[Age]]&lt;25,"Under 25",IF(Data[[#This Row],[Age]]&lt;35,"25–34",IF(Data[[#This Row],[Age]]&lt;45,"35–44",IF(Data[[#This Row],[Age]]&lt;55,"45–54","55+"))))</f>
        <v>45–54</v>
      </c>
      <c r="H1381" t="s">
        <v>59</v>
      </c>
      <c r="I1381" t="s">
        <v>18</v>
      </c>
      <c r="J1381" t="s">
        <v>35</v>
      </c>
      <c r="K1381" s="1">
        <v>41130</v>
      </c>
      <c r="M1381" s="1" t="str">
        <f>IF(ISBLANK(Data[[#This Row],[EndDate]]),"Active","InActive")</f>
        <v>Active</v>
      </c>
      <c r="N1381" t="s">
        <v>20</v>
      </c>
      <c r="O1381" t="s">
        <v>76</v>
      </c>
      <c r="P1381" t="s">
        <v>40</v>
      </c>
      <c r="Q1381" s="2">
        <v>44639</v>
      </c>
    </row>
    <row r="1382" spans="1:17" x14ac:dyDescent="0.2">
      <c r="A1382" s="1">
        <v>43435</v>
      </c>
      <c r="B1382">
        <v>96198</v>
      </c>
      <c r="C1382" t="s">
        <v>79</v>
      </c>
      <c r="D1382" t="s">
        <v>29</v>
      </c>
      <c r="E1382" t="s">
        <v>30</v>
      </c>
      <c r="F1382" s="5">
        <v>49</v>
      </c>
      <c r="G1382" t="str">
        <f>IF(Data[[#This Row],[Age]]&lt;25,"Under 25",IF(Data[[#This Row],[Age]]&lt;35,"25–34",IF(Data[[#This Row],[Age]]&lt;45,"35–44",IF(Data[[#This Row],[Age]]&lt;55,"45–54","55+"))))</f>
        <v>45–54</v>
      </c>
      <c r="H1382" t="s">
        <v>17</v>
      </c>
      <c r="I1382" t="s">
        <v>18</v>
      </c>
      <c r="J1382" t="s">
        <v>19</v>
      </c>
      <c r="K1382" s="1">
        <v>41688</v>
      </c>
      <c r="M1382" s="1" t="str">
        <f>IF(ISBLANK(Data[[#This Row],[EndDate]]),"Active","InActive")</f>
        <v>Active</v>
      </c>
      <c r="N1382" t="s">
        <v>20</v>
      </c>
      <c r="O1382" t="s">
        <v>76</v>
      </c>
      <c r="P1382" t="s">
        <v>40</v>
      </c>
      <c r="Q1382" s="2">
        <v>31850</v>
      </c>
    </row>
    <row r="1383" spans="1:17" x14ac:dyDescent="0.2">
      <c r="A1383" s="1">
        <v>42705</v>
      </c>
      <c r="B1383">
        <v>92260</v>
      </c>
      <c r="C1383" t="s">
        <v>80</v>
      </c>
      <c r="D1383" t="s">
        <v>15</v>
      </c>
      <c r="E1383" t="s">
        <v>70</v>
      </c>
      <c r="F1383" s="5">
        <v>49</v>
      </c>
      <c r="G1383" t="str">
        <f>IF(Data[[#This Row],[Age]]&lt;25,"Under 25",IF(Data[[#This Row],[Age]]&lt;35,"25–34",IF(Data[[#This Row],[Age]]&lt;45,"35–44",IF(Data[[#This Row],[Age]]&lt;55,"45–54","55+"))))</f>
        <v>45–54</v>
      </c>
      <c r="H1383" t="s">
        <v>46</v>
      </c>
      <c r="I1383" t="s">
        <v>56</v>
      </c>
      <c r="J1383" t="s">
        <v>19</v>
      </c>
      <c r="K1383" s="1">
        <v>39626</v>
      </c>
      <c r="M1383" s="1" t="str">
        <f>IF(ISBLANK(Data[[#This Row],[EndDate]]),"Active","InActive")</f>
        <v>Active</v>
      </c>
      <c r="N1383" t="s">
        <v>57</v>
      </c>
      <c r="O1383" t="s">
        <v>76</v>
      </c>
      <c r="P1383" t="s">
        <v>22</v>
      </c>
      <c r="Q1383" s="2">
        <v>28910</v>
      </c>
    </row>
    <row r="1384" spans="1:17" x14ac:dyDescent="0.2">
      <c r="A1384" s="1">
        <v>43070</v>
      </c>
      <c r="B1384">
        <v>95692</v>
      </c>
      <c r="C1384" t="s">
        <v>80</v>
      </c>
      <c r="D1384" t="s">
        <v>47</v>
      </c>
      <c r="E1384" t="s">
        <v>48</v>
      </c>
      <c r="F1384" s="5">
        <v>49</v>
      </c>
      <c r="G1384" t="str">
        <f>IF(Data[[#This Row],[Age]]&lt;25,"Under 25",IF(Data[[#This Row],[Age]]&lt;35,"25–34",IF(Data[[#This Row],[Age]]&lt;45,"35–44",IF(Data[[#This Row],[Age]]&lt;55,"45–54","55+"))))</f>
        <v>45–54</v>
      </c>
      <c r="H1384" t="s">
        <v>25</v>
      </c>
      <c r="I1384" t="s">
        <v>56</v>
      </c>
      <c r="J1384" t="s">
        <v>19</v>
      </c>
      <c r="K1384" s="1">
        <v>40058</v>
      </c>
      <c r="M1384" s="1" t="str">
        <f>IF(ISBLANK(Data[[#This Row],[EndDate]]),"Active","InActive")</f>
        <v>Active</v>
      </c>
      <c r="N1384" t="s">
        <v>57</v>
      </c>
      <c r="O1384" t="s">
        <v>76</v>
      </c>
      <c r="P1384" t="s">
        <v>32</v>
      </c>
      <c r="Q1384" s="2">
        <v>25235</v>
      </c>
    </row>
    <row r="1385" spans="1:17" x14ac:dyDescent="0.2">
      <c r="A1385" s="1">
        <v>42705</v>
      </c>
      <c r="B1385">
        <v>92338</v>
      </c>
      <c r="C1385" t="s">
        <v>79</v>
      </c>
      <c r="D1385" t="s">
        <v>27</v>
      </c>
      <c r="E1385" t="s">
        <v>28</v>
      </c>
      <c r="F1385" s="5">
        <v>49</v>
      </c>
      <c r="G1385" t="str">
        <f>IF(Data[[#This Row],[Age]]&lt;25,"Under 25",IF(Data[[#This Row],[Age]]&lt;35,"25–34",IF(Data[[#This Row],[Age]]&lt;45,"35–44",IF(Data[[#This Row],[Age]]&lt;55,"45–54","55+"))))</f>
        <v>45–54</v>
      </c>
      <c r="H1385" t="s">
        <v>25</v>
      </c>
      <c r="I1385" t="s">
        <v>56</v>
      </c>
      <c r="J1385" t="s">
        <v>19</v>
      </c>
      <c r="K1385" s="1">
        <v>40036</v>
      </c>
      <c r="M1385" s="1" t="str">
        <f>IF(ISBLANK(Data[[#This Row],[EndDate]]),"Active","InActive")</f>
        <v>Active</v>
      </c>
      <c r="N1385" t="s">
        <v>57</v>
      </c>
      <c r="O1385" t="s">
        <v>76</v>
      </c>
      <c r="P1385" t="s">
        <v>22</v>
      </c>
      <c r="Q1385" s="2">
        <v>39935</v>
      </c>
    </row>
    <row r="1386" spans="1:17" x14ac:dyDescent="0.2">
      <c r="A1386" s="1">
        <v>42705</v>
      </c>
      <c r="B1386">
        <v>95744</v>
      </c>
      <c r="C1386" t="s">
        <v>79</v>
      </c>
      <c r="D1386" t="s">
        <v>52</v>
      </c>
      <c r="E1386" t="s">
        <v>69</v>
      </c>
      <c r="F1386" s="5">
        <v>49</v>
      </c>
      <c r="G1386" t="str">
        <f>IF(Data[[#This Row],[Age]]&lt;25,"Under 25",IF(Data[[#This Row],[Age]]&lt;35,"25–34",IF(Data[[#This Row],[Age]]&lt;45,"35–44",IF(Data[[#This Row],[Age]]&lt;55,"45–54","55+"))))</f>
        <v>45–54</v>
      </c>
      <c r="H1386" t="s">
        <v>46</v>
      </c>
      <c r="I1386" t="s">
        <v>56</v>
      </c>
      <c r="J1386" t="s">
        <v>19</v>
      </c>
      <c r="K1386" s="1">
        <v>31839</v>
      </c>
      <c r="M1386" s="1" t="str">
        <f>IF(ISBLANK(Data[[#This Row],[EndDate]]),"Active","InActive")</f>
        <v>Active</v>
      </c>
      <c r="N1386" t="s">
        <v>57</v>
      </c>
      <c r="O1386" t="s">
        <v>76</v>
      </c>
      <c r="P1386" t="s">
        <v>22</v>
      </c>
      <c r="Q1386" s="2">
        <v>12446</v>
      </c>
    </row>
    <row r="1387" spans="1:17" x14ac:dyDescent="0.2">
      <c r="A1387" s="1">
        <v>43070</v>
      </c>
      <c r="B1387">
        <v>97052</v>
      </c>
      <c r="C1387" t="s">
        <v>79</v>
      </c>
      <c r="D1387" t="s">
        <v>15</v>
      </c>
      <c r="E1387" t="s">
        <v>58</v>
      </c>
      <c r="F1387" s="5">
        <v>49</v>
      </c>
      <c r="G1387" t="str">
        <f>IF(Data[[#This Row],[Age]]&lt;25,"Under 25",IF(Data[[#This Row],[Age]]&lt;35,"25–34",IF(Data[[#This Row],[Age]]&lt;45,"35–44",IF(Data[[#This Row],[Age]]&lt;55,"45–54","55+"))))</f>
        <v>45–54</v>
      </c>
      <c r="H1387" t="s">
        <v>49</v>
      </c>
      <c r="I1387" t="s">
        <v>56</v>
      </c>
      <c r="J1387" t="s">
        <v>19</v>
      </c>
      <c r="K1387" s="1">
        <v>39582</v>
      </c>
      <c r="M1387" s="1" t="str">
        <f>IF(ISBLANK(Data[[#This Row],[EndDate]]),"Active","InActive")</f>
        <v>Active</v>
      </c>
      <c r="N1387" t="s">
        <v>57</v>
      </c>
      <c r="O1387" t="s">
        <v>76</v>
      </c>
      <c r="P1387" t="s">
        <v>32</v>
      </c>
      <c r="Q1387" s="2">
        <v>32879</v>
      </c>
    </row>
    <row r="1388" spans="1:17" x14ac:dyDescent="0.2">
      <c r="A1388" s="1">
        <v>43070</v>
      </c>
      <c r="B1388">
        <v>27560</v>
      </c>
      <c r="C1388" t="s">
        <v>79</v>
      </c>
      <c r="D1388" t="s">
        <v>27</v>
      </c>
      <c r="E1388" t="s">
        <v>72</v>
      </c>
      <c r="F1388" s="5">
        <v>49</v>
      </c>
      <c r="G1388" t="str">
        <f>IF(Data[[#This Row],[Age]]&lt;25,"Under 25",IF(Data[[#This Row],[Age]]&lt;35,"25–34",IF(Data[[#This Row],[Age]]&lt;45,"35–44",IF(Data[[#This Row],[Age]]&lt;55,"45–54","55+"))))</f>
        <v>45–54</v>
      </c>
      <c r="H1388" t="s">
        <v>59</v>
      </c>
      <c r="I1388" t="s">
        <v>18</v>
      </c>
      <c r="J1388" t="s">
        <v>26</v>
      </c>
      <c r="K1388" s="1">
        <v>41606</v>
      </c>
      <c r="M1388" s="1" t="str">
        <f>IF(ISBLANK(Data[[#This Row],[EndDate]]),"Active","InActive")</f>
        <v>Active</v>
      </c>
      <c r="N1388" t="s">
        <v>20</v>
      </c>
      <c r="O1388" t="s">
        <v>76</v>
      </c>
      <c r="P1388" t="s">
        <v>32</v>
      </c>
      <c r="Q1388" s="2">
        <v>16072</v>
      </c>
    </row>
    <row r="1389" spans="1:17" x14ac:dyDescent="0.2">
      <c r="A1389" s="1">
        <v>42705</v>
      </c>
      <c r="B1389">
        <v>52954</v>
      </c>
      <c r="C1389" t="s">
        <v>80</v>
      </c>
      <c r="D1389" t="s">
        <v>23</v>
      </c>
      <c r="E1389" t="s">
        <v>71</v>
      </c>
      <c r="F1389" s="5">
        <v>50</v>
      </c>
      <c r="G1389" t="str">
        <f>IF(Data[[#This Row],[Age]]&lt;25,"Under 25",IF(Data[[#This Row],[Age]]&lt;35,"25–34",IF(Data[[#This Row],[Age]]&lt;45,"35–44",IF(Data[[#This Row],[Age]]&lt;55,"45–54","55+"))))</f>
        <v>45–54</v>
      </c>
      <c r="H1389" t="s">
        <v>17</v>
      </c>
      <c r="I1389" t="s">
        <v>56</v>
      </c>
      <c r="J1389" t="s">
        <v>37</v>
      </c>
      <c r="K1389" s="1">
        <v>32567</v>
      </c>
      <c r="L1389" s="1">
        <v>32627</v>
      </c>
      <c r="M1389" s="1" t="str">
        <f>IF(ISBLANK(Data[[#This Row],[EndDate]]),"Active","InActive")</f>
        <v>InActive</v>
      </c>
      <c r="N1389" t="s">
        <v>57</v>
      </c>
      <c r="O1389" t="s">
        <v>76</v>
      </c>
      <c r="P1389" t="s">
        <v>22</v>
      </c>
      <c r="Q1389" s="2">
        <v>60900</v>
      </c>
    </row>
    <row r="1390" spans="1:17" x14ac:dyDescent="0.2">
      <c r="A1390" s="1">
        <v>43070</v>
      </c>
      <c r="B1390">
        <v>53826</v>
      </c>
      <c r="C1390" t="s">
        <v>79</v>
      </c>
      <c r="D1390" t="s">
        <v>29</v>
      </c>
      <c r="E1390" t="s">
        <v>30</v>
      </c>
      <c r="F1390" s="5">
        <v>50</v>
      </c>
      <c r="G1390" t="str">
        <f>IF(Data[[#This Row],[Age]]&lt;25,"Under 25",IF(Data[[#This Row],[Age]]&lt;35,"25–34",IF(Data[[#This Row],[Age]]&lt;45,"35–44",IF(Data[[#This Row],[Age]]&lt;55,"45–54","55+"))))</f>
        <v>45–54</v>
      </c>
      <c r="H1390" t="s">
        <v>17</v>
      </c>
      <c r="I1390" t="s">
        <v>56</v>
      </c>
      <c r="J1390" t="s">
        <v>26</v>
      </c>
      <c r="K1390" s="1">
        <v>38958</v>
      </c>
      <c r="M1390" s="1" t="str">
        <f>IF(ISBLANK(Data[[#This Row],[EndDate]]),"Active","InActive")</f>
        <v>Active</v>
      </c>
      <c r="N1390" t="s">
        <v>57</v>
      </c>
      <c r="O1390" t="s">
        <v>76</v>
      </c>
      <c r="P1390" t="s">
        <v>32</v>
      </c>
      <c r="Q1390" s="2">
        <v>83500</v>
      </c>
    </row>
    <row r="1391" spans="1:17" x14ac:dyDescent="0.2">
      <c r="A1391" s="1">
        <v>42705</v>
      </c>
      <c r="B1391">
        <v>33312</v>
      </c>
      <c r="C1391" t="s">
        <v>79</v>
      </c>
      <c r="D1391" t="s">
        <v>29</v>
      </c>
      <c r="E1391" t="s">
        <v>36</v>
      </c>
      <c r="F1391" s="5">
        <v>50</v>
      </c>
      <c r="G1391" t="str">
        <f>IF(Data[[#This Row],[Age]]&lt;25,"Under 25",IF(Data[[#This Row],[Age]]&lt;35,"25–34",IF(Data[[#This Row],[Age]]&lt;45,"35–44",IF(Data[[#This Row],[Age]]&lt;55,"45–54","55+"))))</f>
        <v>45–54</v>
      </c>
      <c r="H1391" t="s">
        <v>59</v>
      </c>
      <c r="I1391" t="s">
        <v>56</v>
      </c>
      <c r="J1391" t="s">
        <v>19</v>
      </c>
      <c r="K1391" s="1">
        <v>40820</v>
      </c>
      <c r="M1391" s="1" t="str">
        <f>IF(ISBLANK(Data[[#This Row],[EndDate]]),"Active","InActive")</f>
        <v>Active</v>
      </c>
      <c r="N1391" t="s">
        <v>57</v>
      </c>
      <c r="O1391" t="s">
        <v>76</v>
      </c>
      <c r="P1391" t="s">
        <v>22</v>
      </c>
      <c r="Q1391" s="2">
        <v>63200</v>
      </c>
    </row>
    <row r="1392" spans="1:17" x14ac:dyDescent="0.2">
      <c r="A1392" s="1">
        <v>42705</v>
      </c>
      <c r="B1392">
        <v>92072</v>
      </c>
      <c r="C1392" t="s">
        <v>79</v>
      </c>
      <c r="D1392" t="s">
        <v>27</v>
      </c>
      <c r="E1392" t="s">
        <v>72</v>
      </c>
      <c r="F1392" s="5">
        <v>50</v>
      </c>
      <c r="G1392" t="str">
        <f>IF(Data[[#This Row],[Age]]&lt;25,"Under 25",IF(Data[[#This Row],[Age]]&lt;35,"25–34",IF(Data[[#This Row],[Age]]&lt;45,"35–44",IF(Data[[#This Row],[Age]]&lt;55,"45–54","55+"))))</f>
        <v>45–54</v>
      </c>
      <c r="H1392" t="s">
        <v>46</v>
      </c>
      <c r="I1392" t="s">
        <v>56</v>
      </c>
      <c r="J1392" t="s">
        <v>19</v>
      </c>
      <c r="K1392" s="1">
        <v>39686</v>
      </c>
      <c r="M1392" s="1" t="str">
        <f>IF(ISBLANK(Data[[#This Row],[EndDate]]),"Active","InActive")</f>
        <v>Active</v>
      </c>
      <c r="N1392" t="s">
        <v>57</v>
      </c>
      <c r="O1392" t="s">
        <v>76</v>
      </c>
      <c r="P1392" t="s">
        <v>22</v>
      </c>
      <c r="Q1392" s="2">
        <v>59300</v>
      </c>
    </row>
    <row r="1393" spans="1:17" x14ac:dyDescent="0.2">
      <c r="A1393" s="1">
        <v>42705</v>
      </c>
      <c r="B1393">
        <v>95728</v>
      </c>
      <c r="C1393" t="s">
        <v>80</v>
      </c>
      <c r="D1393" t="s">
        <v>52</v>
      </c>
      <c r="E1393" t="s">
        <v>67</v>
      </c>
      <c r="F1393" s="5">
        <v>50</v>
      </c>
      <c r="G1393" t="str">
        <f>IF(Data[[#This Row],[Age]]&lt;25,"Under 25",IF(Data[[#This Row],[Age]]&lt;35,"25–34",IF(Data[[#This Row],[Age]]&lt;45,"35–44",IF(Data[[#This Row],[Age]]&lt;55,"45–54","55+"))))</f>
        <v>45–54</v>
      </c>
      <c r="H1393" t="s">
        <v>25</v>
      </c>
      <c r="I1393" t="s">
        <v>56</v>
      </c>
      <c r="J1393" t="s">
        <v>19</v>
      </c>
      <c r="K1393" s="1">
        <v>37769</v>
      </c>
      <c r="M1393" s="1" t="str">
        <f>IF(ISBLANK(Data[[#This Row],[EndDate]]),"Active","InActive")</f>
        <v>Active</v>
      </c>
      <c r="N1393" t="s">
        <v>57</v>
      </c>
      <c r="O1393" t="s">
        <v>76</v>
      </c>
      <c r="P1393" t="s">
        <v>22</v>
      </c>
      <c r="Q1393" s="2">
        <v>63500</v>
      </c>
    </row>
    <row r="1394" spans="1:17" x14ac:dyDescent="0.2">
      <c r="A1394" s="1">
        <v>42705</v>
      </c>
      <c r="B1394">
        <v>95788</v>
      </c>
      <c r="C1394" t="s">
        <v>79</v>
      </c>
      <c r="D1394" t="s">
        <v>52</v>
      </c>
      <c r="E1394" t="s">
        <v>53</v>
      </c>
      <c r="F1394" s="5">
        <v>50</v>
      </c>
      <c r="G1394" t="str">
        <f>IF(Data[[#This Row],[Age]]&lt;25,"Under 25",IF(Data[[#This Row],[Age]]&lt;35,"25–34",IF(Data[[#This Row],[Age]]&lt;45,"35–44",IF(Data[[#This Row],[Age]]&lt;55,"45–54","55+"))))</f>
        <v>45–54</v>
      </c>
      <c r="H1394" t="s">
        <v>17</v>
      </c>
      <c r="I1394" t="s">
        <v>56</v>
      </c>
      <c r="J1394" t="s">
        <v>19</v>
      </c>
      <c r="K1394" s="1">
        <v>40183</v>
      </c>
      <c r="M1394" s="1" t="str">
        <f>IF(ISBLANK(Data[[#This Row],[EndDate]]),"Active","InActive")</f>
        <v>Active</v>
      </c>
      <c r="N1394" t="s">
        <v>57</v>
      </c>
      <c r="O1394" t="s">
        <v>76</v>
      </c>
      <c r="P1394" t="s">
        <v>22</v>
      </c>
      <c r="Q1394" s="2">
        <v>44600</v>
      </c>
    </row>
    <row r="1395" spans="1:17" x14ac:dyDescent="0.2">
      <c r="A1395" s="1">
        <v>43070</v>
      </c>
      <c r="B1395">
        <v>92338</v>
      </c>
      <c r="C1395" t="s">
        <v>79</v>
      </c>
      <c r="D1395" t="s">
        <v>27</v>
      </c>
      <c r="E1395" t="s">
        <v>28</v>
      </c>
      <c r="F1395" s="5">
        <v>50</v>
      </c>
      <c r="G1395" t="str">
        <f>IF(Data[[#This Row],[Age]]&lt;25,"Under 25",IF(Data[[#This Row],[Age]]&lt;35,"25–34",IF(Data[[#This Row],[Age]]&lt;45,"35–44",IF(Data[[#This Row],[Age]]&lt;55,"45–54","55+"))))</f>
        <v>45–54</v>
      </c>
      <c r="H1395" t="s">
        <v>25</v>
      </c>
      <c r="I1395" t="s">
        <v>56</v>
      </c>
      <c r="J1395" t="s">
        <v>19</v>
      </c>
      <c r="K1395" s="1">
        <v>40036</v>
      </c>
      <c r="M1395" s="1" t="str">
        <f>IF(ISBLANK(Data[[#This Row],[EndDate]]),"Active","InActive")</f>
        <v>Active</v>
      </c>
      <c r="N1395" t="s">
        <v>57</v>
      </c>
      <c r="O1395" t="s">
        <v>76</v>
      </c>
      <c r="P1395" t="s">
        <v>32</v>
      </c>
      <c r="Q1395" s="2">
        <v>88600</v>
      </c>
    </row>
    <row r="1396" spans="1:17" x14ac:dyDescent="0.2">
      <c r="A1396" s="1">
        <v>43070</v>
      </c>
      <c r="B1396">
        <v>95744</v>
      </c>
      <c r="C1396" t="s">
        <v>79</v>
      </c>
      <c r="D1396" t="s">
        <v>52</v>
      </c>
      <c r="E1396" t="s">
        <v>69</v>
      </c>
      <c r="F1396" s="5">
        <v>50</v>
      </c>
      <c r="G1396" t="str">
        <f>IF(Data[[#This Row],[Age]]&lt;25,"Under 25",IF(Data[[#This Row],[Age]]&lt;35,"25–34",IF(Data[[#This Row],[Age]]&lt;45,"35–44",IF(Data[[#This Row],[Age]]&lt;55,"45–54","55+"))))</f>
        <v>45–54</v>
      </c>
      <c r="H1396" t="s">
        <v>46</v>
      </c>
      <c r="I1396" t="s">
        <v>56</v>
      </c>
      <c r="J1396" t="s">
        <v>19</v>
      </c>
      <c r="K1396" s="1">
        <v>31839</v>
      </c>
      <c r="M1396" s="1" t="str">
        <f>IF(ISBLANK(Data[[#This Row],[EndDate]]),"Active","InActive")</f>
        <v>Active</v>
      </c>
      <c r="N1396" t="s">
        <v>57</v>
      </c>
      <c r="O1396" t="s">
        <v>76</v>
      </c>
      <c r="P1396" t="s">
        <v>32</v>
      </c>
      <c r="Q1396" s="2">
        <v>79900</v>
      </c>
    </row>
    <row r="1397" spans="1:17" x14ac:dyDescent="0.2">
      <c r="A1397" s="1">
        <v>43435</v>
      </c>
      <c r="B1397">
        <v>95692</v>
      </c>
      <c r="C1397" t="s">
        <v>80</v>
      </c>
      <c r="D1397" t="s">
        <v>47</v>
      </c>
      <c r="E1397" t="s">
        <v>48</v>
      </c>
      <c r="F1397" s="5">
        <v>50</v>
      </c>
      <c r="G1397" t="str">
        <f>IF(Data[[#This Row],[Age]]&lt;25,"Under 25",IF(Data[[#This Row],[Age]]&lt;35,"25–34",IF(Data[[#This Row],[Age]]&lt;45,"35–44",IF(Data[[#This Row],[Age]]&lt;55,"45–54","55+"))))</f>
        <v>45–54</v>
      </c>
      <c r="H1397" t="s">
        <v>25</v>
      </c>
      <c r="I1397" t="s">
        <v>56</v>
      </c>
      <c r="J1397" t="s">
        <v>19</v>
      </c>
      <c r="K1397" s="1">
        <v>40058</v>
      </c>
      <c r="M1397" s="1" t="str">
        <f>IF(ISBLANK(Data[[#This Row],[EndDate]]),"Active","InActive")</f>
        <v>Active</v>
      </c>
      <c r="N1397" t="s">
        <v>57</v>
      </c>
      <c r="O1397" t="s">
        <v>76</v>
      </c>
      <c r="P1397" t="s">
        <v>40</v>
      </c>
      <c r="Q1397" s="2">
        <v>60600</v>
      </c>
    </row>
    <row r="1398" spans="1:17" x14ac:dyDescent="0.2">
      <c r="A1398" s="1">
        <v>43070</v>
      </c>
      <c r="B1398">
        <v>52698</v>
      </c>
      <c r="C1398" t="s">
        <v>80</v>
      </c>
      <c r="D1398" t="s">
        <v>50</v>
      </c>
      <c r="E1398" t="s">
        <v>63</v>
      </c>
      <c r="F1398" s="5">
        <v>50</v>
      </c>
      <c r="G1398" t="str">
        <f>IF(Data[[#This Row],[Age]]&lt;25,"Under 25",IF(Data[[#This Row],[Age]]&lt;35,"25–34",IF(Data[[#This Row],[Age]]&lt;45,"35–44",IF(Data[[#This Row],[Age]]&lt;55,"45–54","55+"))))</f>
        <v>45–54</v>
      </c>
      <c r="H1398" t="s">
        <v>34</v>
      </c>
      <c r="I1398" t="s">
        <v>18</v>
      </c>
      <c r="J1398" t="s">
        <v>26</v>
      </c>
      <c r="K1398" s="1">
        <v>41401</v>
      </c>
      <c r="M1398" s="1" t="str">
        <f>IF(ISBLANK(Data[[#This Row],[EndDate]]),"Active","InActive")</f>
        <v>Active</v>
      </c>
      <c r="N1398" t="s">
        <v>20</v>
      </c>
      <c r="O1398" t="s">
        <v>76</v>
      </c>
      <c r="P1398" t="s">
        <v>32</v>
      </c>
      <c r="Q1398" s="2">
        <v>70100</v>
      </c>
    </row>
    <row r="1399" spans="1:17" x14ac:dyDescent="0.2">
      <c r="A1399" s="1">
        <v>43435</v>
      </c>
      <c r="B1399">
        <v>43918</v>
      </c>
      <c r="C1399" t="s">
        <v>80</v>
      </c>
      <c r="D1399" t="s">
        <v>52</v>
      </c>
      <c r="E1399" t="s">
        <v>69</v>
      </c>
      <c r="F1399" s="5">
        <v>50</v>
      </c>
      <c r="G1399" t="str">
        <f>IF(Data[[#This Row],[Age]]&lt;25,"Under 25",IF(Data[[#This Row],[Age]]&lt;35,"25–34",IF(Data[[#This Row],[Age]]&lt;45,"35–44",IF(Data[[#This Row],[Age]]&lt;55,"45–54","55+"))))</f>
        <v>45–54</v>
      </c>
      <c r="H1399" t="s">
        <v>49</v>
      </c>
      <c r="I1399" t="s">
        <v>18</v>
      </c>
      <c r="J1399" t="s">
        <v>37</v>
      </c>
      <c r="K1399" s="1">
        <v>40246</v>
      </c>
      <c r="M1399" s="1" t="str">
        <f>IF(ISBLANK(Data[[#This Row],[EndDate]]),"Active","InActive")</f>
        <v>Active</v>
      </c>
      <c r="N1399" t="s">
        <v>20</v>
      </c>
      <c r="O1399" t="s">
        <v>76</v>
      </c>
      <c r="P1399" t="s">
        <v>40</v>
      </c>
      <c r="Q1399" s="2">
        <v>14100</v>
      </c>
    </row>
    <row r="1400" spans="1:17" x14ac:dyDescent="0.2">
      <c r="A1400" s="1">
        <v>42705</v>
      </c>
      <c r="B1400">
        <v>49748</v>
      </c>
      <c r="C1400" t="s">
        <v>79</v>
      </c>
      <c r="D1400" t="s">
        <v>47</v>
      </c>
      <c r="E1400" t="s">
        <v>73</v>
      </c>
      <c r="F1400" s="5">
        <v>50</v>
      </c>
      <c r="G1400" t="str">
        <f>IF(Data[[#This Row],[Age]]&lt;25,"Under 25",IF(Data[[#This Row],[Age]]&lt;35,"25–34",IF(Data[[#This Row],[Age]]&lt;45,"35–44",IF(Data[[#This Row],[Age]]&lt;55,"45–54","55+"))))</f>
        <v>45–54</v>
      </c>
      <c r="H1400" t="s">
        <v>34</v>
      </c>
      <c r="I1400" t="s">
        <v>56</v>
      </c>
      <c r="J1400" t="s">
        <v>37</v>
      </c>
      <c r="K1400" s="1">
        <v>37216</v>
      </c>
      <c r="M1400" s="1" t="str">
        <f>IF(ISBLANK(Data[[#This Row],[EndDate]]),"Active","InActive")</f>
        <v>Active</v>
      </c>
      <c r="N1400" t="s">
        <v>57</v>
      </c>
      <c r="O1400" t="s">
        <v>76</v>
      </c>
      <c r="P1400" t="s">
        <v>22</v>
      </c>
      <c r="Q1400" s="2">
        <v>56100</v>
      </c>
    </row>
    <row r="1401" spans="1:17" x14ac:dyDescent="0.2">
      <c r="A1401" s="1">
        <v>42705</v>
      </c>
      <c r="B1401">
        <v>53266</v>
      </c>
      <c r="C1401" t="s">
        <v>80</v>
      </c>
      <c r="D1401" t="s">
        <v>27</v>
      </c>
      <c r="E1401" t="s">
        <v>72</v>
      </c>
      <c r="F1401" s="5">
        <v>50</v>
      </c>
      <c r="G1401" t="str">
        <f>IF(Data[[#This Row],[Age]]&lt;25,"Under 25",IF(Data[[#This Row],[Age]]&lt;35,"25–34",IF(Data[[#This Row],[Age]]&lt;45,"35–44",IF(Data[[#This Row],[Age]]&lt;55,"45–54","55+"))))</f>
        <v>45–54</v>
      </c>
      <c r="H1401" t="s">
        <v>25</v>
      </c>
      <c r="I1401" t="s">
        <v>56</v>
      </c>
      <c r="J1401" t="s">
        <v>35</v>
      </c>
      <c r="K1401" s="1">
        <v>33400</v>
      </c>
      <c r="M1401" s="1" t="str">
        <f>IF(ISBLANK(Data[[#This Row],[EndDate]]),"Active","InActive")</f>
        <v>Active</v>
      </c>
      <c r="N1401" t="s">
        <v>57</v>
      </c>
      <c r="O1401" t="s">
        <v>76</v>
      </c>
      <c r="P1401" t="s">
        <v>22</v>
      </c>
      <c r="Q1401" s="2">
        <v>51100</v>
      </c>
    </row>
    <row r="1402" spans="1:17" x14ac:dyDescent="0.2">
      <c r="A1402" s="1">
        <v>42705</v>
      </c>
      <c r="B1402">
        <v>55700</v>
      </c>
      <c r="C1402" t="s">
        <v>79</v>
      </c>
      <c r="D1402" t="s">
        <v>29</v>
      </c>
      <c r="E1402" t="s">
        <v>33</v>
      </c>
      <c r="F1402" s="5">
        <v>50</v>
      </c>
      <c r="G1402" t="str">
        <f>IF(Data[[#This Row],[Age]]&lt;25,"Under 25",IF(Data[[#This Row],[Age]]&lt;35,"25–34",IF(Data[[#This Row],[Age]]&lt;45,"35–44",IF(Data[[#This Row],[Age]]&lt;55,"45–54","55+"))))</f>
        <v>45–54</v>
      </c>
      <c r="H1402" t="s">
        <v>46</v>
      </c>
      <c r="I1402" t="s">
        <v>56</v>
      </c>
      <c r="J1402" t="s">
        <v>35</v>
      </c>
      <c r="K1402" s="1">
        <v>38594</v>
      </c>
      <c r="M1402" s="1" t="str">
        <f>IF(ISBLANK(Data[[#This Row],[EndDate]]),"Active","InActive")</f>
        <v>Active</v>
      </c>
      <c r="N1402" t="s">
        <v>57</v>
      </c>
      <c r="O1402" t="s">
        <v>76</v>
      </c>
      <c r="P1402" t="s">
        <v>22</v>
      </c>
      <c r="Q1402" s="2">
        <v>65200</v>
      </c>
    </row>
    <row r="1403" spans="1:17" x14ac:dyDescent="0.2">
      <c r="A1403" s="1">
        <v>42705</v>
      </c>
      <c r="B1403">
        <v>55704</v>
      </c>
      <c r="C1403" t="s">
        <v>80</v>
      </c>
      <c r="D1403" t="s">
        <v>43</v>
      </c>
      <c r="E1403" t="s">
        <v>66</v>
      </c>
      <c r="F1403" s="5">
        <v>50</v>
      </c>
      <c r="G1403" t="str">
        <f>IF(Data[[#This Row],[Age]]&lt;25,"Under 25",IF(Data[[#This Row],[Age]]&lt;35,"25–34",IF(Data[[#This Row],[Age]]&lt;45,"35–44",IF(Data[[#This Row],[Age]]&lt;55,"45–54","55+"))))</f>
        <v>45–54</v>
      </c>
      <c r="H1403" t="s">
        <v>17</v>
      </c>
      <c r="I1403" t="s">
        <v>56</v>
      </c>
      <c r="J1403" t="s">
        <v>35</v>
      </c>
      <c r="K1403" s="1">
        <v>38482</v>
      </c>
      <c r="M1403" s="1" t="str">
        <f>IF(ISBLANK(Data[[#This Row],[EndDate]]),"Active","InActive")</f>
        <v>Active</v>
      </c>
      <c r="N1403" t="s">
        <v>57</v>
      </c>
      <c r="O1403" t="s">
        <v>76</v>
      </c>
      <c r="P1403" t="s">
        <v>22</v>
      </c>
      <c r="Q1403" s="2">
        <v>57800</v>
      </c>
    </row>
    <row r="1404" spans="1:17" x14ac:dyDescent="0.2">
      <c r="A1404" s="1">
        <v>42705</v>
      </c>
      <c r="B1404">
        <v>92056</v>
      </c>
      <c r="C1404" t="s">
        <v>79</v>
      </c>
      <c r="D1404" t="s">
        <v>52</v>
      </c>
      <c r="E1404" t="s">
        <v>69</v>
      </c>
      <c r="F1404" s="5">
        <v>50</v>
      </c>
      <c r="G1404" t="str">
        <f>IF(Data[[#This Row],[Age]]&lt;25,"Under 25",IF(Data[[#This Row],[Age]]&lt;35,"25–34",IF(Data[[#This Row],[Age]]&lt;45,"35–44",IF(Data[[#This Row],[Age]]&lt;55,"45–54","55+"))))</f>
        <v>45–54</v>
      </c>
      <c r="H1404" t="s">
        <v>25</v>
      </c>
      <c r="I1404" t="s">
        <v>56</v>
      </c>
      <c r="J1404" t="s">
        <v>19</v>
      </c>
      <c r="K1404" s="1">
        <v>38797</v>
      </c>
      <c r="M1404" s="1" t="str">
        <f>IF(ISBLANK(Data[[#This Row],[EndDate]]),"Active","InActive")</f>
        <v>Active</v>
      </c>
      <c r="N1404" t="s">
        <v>57</v>
      </c>
      <c r="O1404" t="s">
        <v>76</v>
      </c>
      <c r="P1404" t="s">
        <v>22</v>
      </c>
      <c r="Q1404" s="2">
        <v>41600</v>
      </c>
    </row>
    <row r="1405" spans="1:17" x14ac:dyDescent="0.2">
      <c r="A1405" s="1">
        <v>43070</v>
      </c>
      <c r="B1405">
        <v>49188</v>
      </c>
      <c r="C1405" t="s">
        <v>79</v>
      </c>
      <c r="D1405" t="s">
        <v>41</v>
      </c>
      <c r="E1405" t="s">
        <v>62</v>
      </c>
      <c r="F1405" s="5">
        <v>50</v>
      </c>
      <c r="G1405" t="str">
        <f>IF(Data[[#This Row],[Age]]&lt;25,"Under 25",IF(Data[[#This Row],[Age]]&lt;35,"25–34",IF(Data[[#This Row],[Age]]&lt;45,"35–44",IF(Data[[#This Row],[Age]]&lt;55,"45–54","55+"))))</f>
        <v>45–54</v>
      </c>
      <c r="H1405" t="s">
        <v>46</v>
      </c>
      <c r="I1405" t="s">
        <v>56</v>
      </c>
      <c r="J1405" t="s">
        <v>37</v>
      </c>
      <c r="K1405" s="1">
        <v>29655</v>
      </c>
      <c r="M1405" s="1" t="str">
        <f>IF(ISBLANK(Data[[#This Row],[EndDate]]),"Active","InActive")</f>
        <v>Active</v>
      </c>
      <c r="N1405" t="s">
        <v>57</v>
      </c>
      <c r="O1405" t="s">
        <v>76</v>
      </c>
      <c r="P1405" t="s">
        <v>32</v>
      </c>
      <c r="Q1405" s="2">
        <v>98900</v>
      </c>
    </row>
    <row r="1406" spans="1:17" x14ac:dyDescent="0.2">
      <c r="A1406" s="1">
        <v>43070</v>
      </c>
      <c r="B1406">
        <v>49232</v>
      </c>
      <c r="C1406" t="s">
        <v>80</v>
      </c>
      <c r="D1406" t="s">
        <v>23</v>
      </c>
      <c r="E1406" t="s">
        <v>24</v>
      </c>
      <c r="F1406" s="5">
        <v>50</v>
      </c>
      <c r="G1406" t="str">
        <f>IF(Data[[#This Row],[Age]]&lt;25,"Under 25",IF(Data[[#This Row],[Age]]&lt;35,"25–34",IF(Data[[#This Row],[Age]]&lt;45,"35–44",IF(Data[[#This Row],[Age]]&lt;55,"45–54","55+"))))</f>
        <v>45–54</v>
      </c>
      <c r="H1406" t="s">
        <v>34</v>
      </c>
      <c r="I1406" t="s">
        <v>56</v>
      </c>
      <c r="J1406" t="s">
        <v>37</v>
      </c>
      <c r="K1406" s="1">
        <v>41095</v>
      </c>
      <c r="M1406" s="1" t="str">
        <f>IF(ISBLANK(Data[[#This Row],[EndDate]]),"Active","InActive")</f>
        <v>Active</v>
      </c>
      <c r="N1406" t="s">
        <v>57</v>
      </c>
      <c r="O1406" t="s">
        <v>76</v>
      </c>
      <c r="P1406" t="s">
        <v>32</v>
      </c>
      <c r="Q1406" s="2">
        <v>77000</v>
      </c>
    </row>
    <row r="1407" spans="1:17" x14ac:dyDescent="0.2">
      <c r="A1407" s="1">
        <v>43070</v>
      </c>
      <c r="B1407">
        <v>51922</v>
      </c>
      <c r="C1407" t="s">
        <v>80</v>
      </c>
      <c r="D1407" t="s">
        <v>27</v>
      </c>
      <c r="E1407" t="s">
        <v>72</v>
      </c>
      <c r="F1407" s="5">
        <v>50</v>
      </c>
      <c r="G1407" t="str">
        <f>IF(Data[[#This Row],[Age]]&lt;25,"Under 25",IF(Data[[#This Row],[Age]]&lt;35,"25–34",IF(Data[[#This Row],[Age]]&lt;45,"35–44",IF(Data[[#This Row],[Age]]&lt;55,"45–54","55+"))))</f>
        <v>45–54</v>
      </c>
      <c r="H1407" t="s">
        <v>17</v>
      </c>
      <c r="I1407" t="s">
        <v>56</v>
      </c>
      <c r="J1407" t="s">
        <v>35</v>
      </c>
      <c r="K1407" s="1">
        <v>38211</v>
      </c>
      <c r="M1407" s="1" t="str">
        <f>IF(ISBLANK(Data[[#This Row],[EndDate]]),"Active","InActive")</f>
        <v>Active</v>
      </c>
      <c r="N1407" t="s">
        <v>57</v>
      </c>
      <c r="O1407" t="s">
        <v>76</v>
      </c>
      <c r="P1407" t="s">
        <v>32</v>
      </c>
      <c r="Q1407" s="2">
        <v>38200</v>
      </c>
    </row>
    <row r="1408" spans="1:17" x14ac:dyDescent="0.2">
      <c r="A1408" s="1">
        <v>43070</v>
      </c>
      <c r="B1408">
        <v>54082</v>
      </c>
      <c r="C1408" t="s">
        <v>80</v>
      </c>
      <c r="D1408" t="s">
        <v>50</v>
      </c>
      <c r="E1408" t="s">
        <v>51</v>
      </c>
      <c r="F1408" s="5">
        <v>50</v>
      </c>
      <c r="G1408" t="str">
        <f>IF(Data[[#This Row],[Age]]&lt;25,"Under 25",IF(Data[[#This Row],[Age]]&lt;35,"25–34",IF(Data[[#This Row],[Age]]&lt;45,"35–44",IF(Data[[#This Row],[Age]]&lt;55,"45–54","55+"))))</f>
        <v>45–54</v>
      </c>
      <c r="H1408" t="s">
        <v>17</v>
      </c>
      <c r="I1408" t="s">
        <v>56</v>
      </c>
      <c r="J1408" t="s">
        <v>26</v>
      </c>
      <c r="K1408" s="1">
        <v>39317</v>
      </c>
      <c r="M1408" s="1" t="str">
        <f>IF(ISBLANK(Data[[#This Row],[EndDate]]),"Active","InActive")</f>
        <v>Active</v>
      </c>
      <c r="N1408" t="s">
        <v>57</v>
      </c>
      <c r="O1408" t="s">
        <v>76</v>
      </c>
      <c r="P1408" t="s">
        <v>32</v>
      </c>
      <c r="Q1408" s="2">
        <v>83300</v>
      </c>
    </row>
    <row r="1409" spans="1:17" x14ac:dyDescent="0.2">
      <c r="A1409" s="1">
        <v>43070</v>
      </c>
      <c r="B1409">
        <v>56498</v>
      </c>
      <c r="C1409" t="s">
        <v>80</v>
      </c>
      <c r="D1409" t="s">
        <v>15</v>
      </c>
      <c r="E1409" t="s">
        <v>16</v>
      </c>
      <c r="F1409" s="5">
        <v>50</v>
      </c>
      <c r="G1409" t="str">
        <f>IF(Data[[#This Row],[Age]]&lt;25,"Under 25",IF(Data[[#This Row],[Age]]&lt;35,"25–34",IF(Data[[#This Row],[Age]]&lt;45,"35–44",IF(Data[[#This Row],[Age]]&lt;55,"45–54","55+"))))</f>
        <v>45–54</v>
      </c>
      <c r="H1409" t="s">
        <v>59</v>
      </c>
      <c r="I1409" t="s">
        <v>56</v>
      </c>
      <c r="J1409" t="s">
        <v>37</v>
      </c>
      <c r="K1409" s="1">
        <v>36552</v>
      </c>
      <c r="M1409" s="1" t="str">
        <f>IF(ISBLANK(Data[[#This Row],[EndDate]]),"Active","InActive")</f>
        <v>Active</v>
      </c>
      <c r="N1409" t="s">
        <v>57</v>
      </c>
      <c r="O1409" t="s">
        <v>76</v>
      </c>
      <c r="P1409" t="s">
        <v>32</v>
      </c>
      <c r="Q1409" s="2">
        <v>33400</v>
      </c>
    </row>
    <row r="1410" spans="1:17" x14ac:dyDescent="0.2">
      <c r="A1410" s="1">
        <v>43070</v>
      </c>
      <c r="B1410">
        <v>92260</v>
      </c>
      <c r="C1410" t="s">
        <v>80</v>
      </c>
      <c r="D1410" t="s">
        <v>15</v>
      </c>
      <c r="E1410" t="s">
        <v>70</v>
      </c>
      <c r="F1410" s="5">
        <v>50</v>
      </c>
      <c r="G1410" t="str">
        <f>IF(Data[[#This Row],[Age]]&lt;25,"Under 25",IF(Data[[#This Row],[Age]]&lt;35,"25–34",IF(Data[[#This Row],[Age]]&lt;45,"35–44",IF(Data[[#This Row],[Age]]&lt;55,"45–54","55+"))))</f>
        <v>45–54</v>
      </c>
      <c r="H1410" t="s">
        <v>46</v>
      </c>
      <c r="I1410" t="s">
        <v>56</v>
      </c>
      <c r="J1410" t="s">
        <v>19</v>
      </c>
      <c r="K1410" s="1">
        <v>39626</v>
      </c>
      <c r="L1410" s="1">
        <v>39726</v>
      </c>
      <c r="M1410" s="1" t="str">
        <f>IF(ISBLANK(Data[[#This Row],[EndDate]]),"Active","InActive")</f>
        <v>InActive</v>
      </c>
      <c r="N1410" t="s">
        <v>57</v>
      </c>
      <c r="O1410" t="s">
        <v>76</v>
      </c>
      <c r="P1410" t="s">
        <v>32</v>
      </c>
      <c r="Q1410" s="2">
        <v>48600</v>
      </c>
    </row>
    <row r="1411" spans="1:17" x14ac:dyDescent="0.2">
      <c r="A1411" s="1">
        <v>43435</v>
      </c>
      <c r="B1411">
        <v>51548</v>
      </c>
      <c r="C1411" t="s">
        <v>80</v>
      </c>
      <c r="D1411" t="s">
        <v>23</v>
      </c>
      <c r="E1411" t="s">
        <v>24</v>
      </c>
      <c r="F1411" s="5">
        <v>50</v>
      </c>
      <c r="G1411" t="str">
        <f>IF(Data[[#This Row],[Age]]&lt;25,"Under 25",IF(Data[[#This Row],[Age]]&lt;35,"25–34",IF(Data[[#This Row],[Age]]&lt;45,"35–44",IF(Data[[#This Row],[Age]]&lt;55,"45–54","55+"))))</f>
        <v>45–54</v>
      </c>
      <c r="H1411" t="s">
        <v>46</v>
      </c>
      <c r="I1411" t="s">
        <v>56</v>
      </c>
      <c r="J1411" t="s">
        <v>35</v>
      </c>
      <c r="K1411" s="1">
        <v>39796</v>
      </c>
      <c r="M1411" s="1" t="str">
        <f>IF(ISBLANK(Data[[#This Row],[EndDate]]),"Active","InActive")</f>
        <v>Active</v>
      </c>
      <c r="N1411" t="s">
        <v>57</v>
      </c>
      <c r="O1411" t="s">
        <v>76</v>
      </c>
      <c r="P1411" t="s">
        <v>40</v>
      </c>
      <c r="Q1411" s="2">
        <v>24400</v>
      </c>
    </row>
    <row r="1412" spans="1:17" x14ac:dyDescent="0.2">
      <c r="A1412" s="1">
        <v>43435</v>
      </c>
      <c r="B1412">
        <v>56516</v>
      </c>
      <c r="C1412" t="s">
        <v>80</v>
      </c>
      <c r="D1412" t="s">
        <v>41</v>
      </c>
      <c r="E1412" t="s">
        <v>62</v>
      </c>
      <c r="F1412" s="5">
        <v>50</v>
      </c>
      <c r="G1412" t="str">
        <f>IF(Data[[#This Row],[Age]]&lt;25,"Under 25",IF(Data[[#This Row],[Age]]&lt;35,"25–34",IF(Data[[#This Row],[Age]]&lt;45,"35–44",IF(Data[[#This Row],[Age]]&lt;55,"45–54","55+"))))</f>
        <v>45–54</v>
      </c>
      <c r="H1412" t="s">
        <v>34</v>
      </c>
      <c r="I1412" t="s">
        <v>56</v>
      </c>
      <c r="J1412" t="s">
        <v>37</v>
      </c>
      <c r="K1412" s="1">
        <v>30945</v>
      </c>
      <c r="M1412" s="1" t="str">
        <f>IF(ISBLANK(Data[[#This Row],[EndDate]]),"Active","InActive")</f>
        <v>Active</v>
      </c>
      <c r="N1412" t="s">
        <v>57</v>
      </c>
      <c r="O1412" t="s">
        <v>76</v>
      </c>
      <c r="P1412" t="s">
        <v>40</v>
      </c>
      <c r="Q1412" s="2">
        <v>19900</v>
      </c>
    </row>
    <row r="1413" spans="1:17" x14ac:dyDescent="0.2">
      <c r="A1413" s="1">
        <v>43435</v>
      </c>
      <c r="B1413">
        <v>97052</v>
      </c>
      <c r="C1413" t="s">
        <v>79</v>
      </c>
      <c r="D1413" t="s">
        <v>15</v>
      </c>
      <c r="E1413" t="s">
        <v>58</v>
      </c>
      <c r="F1413" s="5">
        <v>50</v>
      </c>
      <c r="G1413" t="str">
        <f>IF(Data[[#This Row],[Age]]&lt;25,"Under 25",IF(Data[[#This Row],[Age]]&lt;35,"25–34",IF(Data[[#This Row],[Age]]&lt;45,"35–44",IF(Data[[#This Row],[Age]]&lt;55,"45–54","55+"))))</f>
        <v>45–54</v>
      </c>
      <c r="H1413" t="s">
        <v>49</v>
      </c>
      <c r="I1413" t="s">
        <v>56</v>
      </c>
      <c r="J1413" t="s">
        <v>19</v>
      </c>
      <c r="K1413" s="1">
        <v>39582</v>
      </c>
      <c r="L1413" s="1">
        <v>39702</v>
      </c>
      <c r="M1413" s="1" t="str">
        <f>IF(ISBLANK(Data[[#This Row],[EndDate]]),"Active","InActive")</f>
        <v>InActive</v>
      </c>
      <c r="N1413" t="s">
        <v>57</v>
      </c>
      <c r="O1413" t="s">
        <v>76</v>
      </c>
      <c r="P1413" t="s">
        <v>40</v>
      </c>
      <c r="Q1413" s="2">
        <v>65600</v>
      </c>
    </row>
    <row r="1414" spans="1:17" x14ac:dyDescent="0.2">
      <c r="A1414" s="1">
        <v>43070</v>
      </c>
      <c r="B1414">
        <v>52954</v>
      </c>
      <c r="C1414" t="s">
        <v>80</v>
      </c>
      <c r="D1414" t="s">
        <v>23</v>
      </c>
      <c r="E1414" t="s">
        <v>71</v>
      </c>
      <c r="F1414" s="5">
        <v>51</v>
      </c>
      <c r="G1414" t="str">
        <f>IF(Data[[#This Row],[Age]]&lt;25,"Under 25",IF(Data[[#This Row],[Age]]&lt;35,"25–34",IF(Data[[#This Row],[Age]]&lt;45,"35–44",IF(Data[[#This Row],[Age]]&lt;55,"45–54","55+"))))</f>
        <v>45–54</v>
      </c>
      <c r="H1414" t="s">
        <v>17</v>
      </c>
      <c r="I1414" t="s">
        <v>56</v>
      </c>
      <c r="J1414" t="s">
        <v>37</v>
      </c>
      <c r="K1414" s="1">
        <v>32567</v>
      </c>
      <c r="M1414" s="1" t="str">
        <f>IF(ISBLANK(Data[[#This Row],[EndDate]]),"Active","InActive")</f>
        <v>Active</v>
      </c>
      <c r="N1414" t="s">
        <v>57</v>
      </c>
      <c r="O1414" t="s">
        <v>77</v>
      </c>
      <c r="P1414" t="s">
        <v>32</v>
      </c>
      <c r="Q1414" s="2">
        <v>79458</v>
      </c>
    </row>
    <row r="1415" spans="1:17" x14ac:dyDescent="0.2">
      <c r="A1415" s="1">
        <v>43435</v>
      </c>
      <c r="B1415">
        <v>53826</v>
      </c>
      <c r="C1415" t="s">
        <v>79</v>
      </c>
      <c r="D1415" t="s">
        <v>29</v>
      </c>
      <c r="E1415" t="s">
        <v>30</v>
      </c>
      <c r="F1415" s="5">
        <v>51</v>
      </c>
      <c r="G1415" t="str">
        <f>IF(Data[[#This Row],[Age]]&lt;25,"Under 25",IF(Data[[#This Row],[Age]]&lt;35,"25–34",IF(Data[[#This Row],[Age]]&lt;45,"35–44",IF(Data[[#This Row],[Age]]&lt;55,"45–54","55+"))))</f>
        <v>45–54</v>
      </c>
      <c r="H1415" t="s">
        <v>17</v>
      </c>
      <c r="I1415" t="s">
        <v>56</v>
      </c>
      <c r="J1415" t="s">
        <v>26</v>
      </c>
      <c r="K1415" s="1">
        <v>38958</v>
      </c>
      <c r="M1415" s="1" t="str">
        <f>IF(ISBLANK(Data[[#This Row],[EndDate]]),"Active","InActive")</f>
        <v>Active</v>
      </c>
      <c r="N1415" t="s">
        <v>57</v>
      </c>
      <c r="O1415" t="s">
        <v>77</v>
      </c>
      <c r="P1415" t="s">
        <v>40</v>
      </c>
      <c r="Q1415" s="2">
        <v>28560</v>
      </c>
    </row>
    <row r="1416" spans="1:17" x14ac:dyDescent="0.2">
      <c r="A1416" s="1">
        <v>43435</v>
      </c>
      <c r="B1416">
        <v>54066</v>
      </c>
      <c r="C1416" t="s">
        <v>80</v>
      </c>
      <c r="D1416" t="s">
        <v>38</v>
      </c>
      <c r="E1416" t="s">
        <v>39</v>
      </c>
      <c r="F1416" s="5">
        <v>51</v>
      </c>
      <c r="G1416" t="str">
        <f>IF(Data[[#This Row],[Age]]&lt;25,"Under 25",IF(Data[[#This Row],[Age]]&lt;35,"25–34",IF(Data[[#This Row],[Age]]&lt;45,"35–44",IF(Data[[#This Row],[Age]]&lt;55,"45–54","55+"))))</f>
        <v>45–54</v>
      </c>
      <c r="H1416" t="s">
        <v>59</v>
      </c>
      <c r="I1416" t="s">
        <v>56</v>
      </c>
      <c r="J1416" t="s">
        <v>26</v>
      </c>
      <c r="K1416" s="1">
        <v>41870</v>
      </c>
      <c r="M1416" s="1" t="str">
        <f>IF(ISBLANK(Data[[#This Row],[EndDate]]),"Active","InActive")</f>
        <v>Active</v>
      </c>
      <c r="N1416" t="s">
        <v>57</v>
      </c>
      <c r="O1416" t="s">
        <v>77</v>
      </c>
      <c r="P1416" t="s">
        <v>40</v>
      </c>
      <c r="Q1416" s="2">
        <v>50082</v>
      </c>
    </row>
    <row r="1417" spans="1:17" x14ac:dyDescent="0.2">
      <c r="A1417" s="1">
        <v>42705</v>
      </c>
      <c r="B1417">
        <v>92254</v>
      </c>
      <c r="C1417" t="s">
        <v>80</v>
      </c>
      <c r="D1417" t="s">
        <v>47</v>
      </c>
      <c r="E1417" t="s">
        <v>48</v>
      </c>
      <c r="F1417" s="5">
        <v>51</v>
      </c>
      <c r="G1417" t="str">
        <f>IF(Data[[#This Row],[Age]]&lt;25,"Under 25",IF(Data[[#This Row],[Age]]&lt;35,"25–34",IF(Data[[#This Row],[Age]]&lt;45,"35–44",IF(Data[[#This Row],[Age]]&lt;55,"45–54","55+"))))</f>
        <v>45–54</v>
      </c>
      <c r="H1417" t="s">
        <v>25</v>
      </c>
      <c r="I1417" t="s">
        <v>56</v>
      </c>
      <c r="J1417" t="s">
        <v>19</v>
      </c>
      <c r="K1417" s="1">
        <v>40862</v>
      </c>
      <c r="M1417" s="1" t="str">
        <f>IF(ISBLANK(Data[[#This Row],[EndDate]]),"Active","InActive")</f>
        <v>Active</v>
      </c>
      <c r="N1417" t="s">
        <v>57</v>
      </c>
      <c r="O1417" t="s">
        <v>77</v>
      </c>
      <c r="P1417" t="s">
        <v>22</v>
      </c>
      <c r="Q1417" s="2">
        <v>31212</v>
      </c>
    </row>
    <row r="1418" spans="1:17" x14ac:dyDescent="0.2">
      <c r="A1418" s="1">
        <v>43070</v>
      </c>
      <c r="B1418">
        <v>33312</v>
      </c>
      <c r="C1418" t="s">
        <v>79</v>
      </c>
      <c r="D1418" t="s">
        <v>29</v>
      </c>
      <c r="E1418" t="s">
        <v>36</v>
      </c>
      <c r="F1418" s="5">
        <v>51</v>
      </c>
      <c r="G1418" t="str">
        <f>IF(Data[[#This Row],[Age]]&lt;25,"Under 25",IF(Data[[#This Row],[Age]]&lt;35,"25–34",IF(Data[[#This Row],[Age]]&lt;45,"35–44",IF(Data[[#This Row],[Age]]&lt;55,"45–54","55+"))))</f>
        <v>45–54</v>
      </c>
      <c r="H1418" t="s">
        <v>59</v>
      </c>
      <c r="I1418" t="s">
        <v>56</v>
      </c>
      <c r="J1418" t="s">
        <v>19</v>
      </c>
      <c r="K1418" s="1">
        <v>40820</v>
      </c>
      <c r="M1418" s="1" t="str">
        <f>IF(ISBLANK(Data[[#This Row],[EndDate]]),"Active","InActive")</f>
        <v>Active</v>
      </c>
      <c r="N1418" t="s">
        <v>57</v>
      </c>
      <c r="O1418" t="s">
        <v>77</v>
      </c>
      <c r="P1418" t="s">
        <v>32</v>
      </c>
      <c r="Q1418" s="2">
        <v>42432</v>
      </c>
    </row>
    <row r="1419" spans="1:17" x14ac:dyDescent="0.2">
      <c r="A1419" s="1">
        <v>43070</v>
      </c>
      <c r="B1419">
        <v>92072</v>
      </c>
      <c r="C1419" t="s">
        <v>79</v>
      </c>
      <c r="D1419" t="s">
        <v>27</v>
      </c>
      <c r="E1419" t="s">
        <v>72</v>
      </c>
      <c r="F1419" s="5">
        <v>51</v>
      </c>
      <c r="G1419" t="str">
        <f>IF(Data[[#This Row],[Age]]&lt;25,"Under 25",IF(Data[[#This Row],[Age]]&lt;35,"25–34",IF(Data[[#This Row],[Age]]&lt;45,"35–44",IF(Data[[#This Row],[Age]]&lt;55,"45–54","55+"))))</f>
        <v>45–54</v>
      </c>
      <c r="H1419" t="s">
        <v>46</v>
      </c>
      <c r="I1419" t="s">
        <v>56</v>
      </c>
      <c r="J1419" t="s">
        <v>19</v>
      </c>
      <c r="K1419" s="1">
        <v>39686</v>
      </c>
      <c r="M1419" s="1" t="str">
        <f>IF(ISBLANK(Data[[#This Row],[EndDate]]),"Active","InActive")</f>
        <v>Active</v>
      </c>
      <c r="N1419" t="s">
        <v>57</v>
      </c>
      <c r="O1419" t="s">
        <v>77</v>
      </c>
      <c r="P1419" t="s">
        <v>32</v>
      </c>
      <c r="Q1419" s="2">
        <v>88638</v>
      </c>
    </row>
    <row r="1420" spans="1:17" x14ac:dyDescent="0.2">
      <c r="A1420" s="1">
        <v>43070</v>
      </c>
      <c r="B1420">
        <v>95728</v>
      </c>
      <c r="C1420" t="s">
        <v>80</v>
      </c>
      <c r="D1420" t="s">
        <v>52</v>
      </c>
      <c r="E1420" t="s">
        <v>67</v>
      </c>
      <c r="F1420" s="5">
        <v>51</v>
      </c>
      <c r="G1420" t="str">
        <f>IF(Data[[#This Row],[Age]]&lt;25,"Under 25",IF(Data[[#This Row],[Age]]&lt;35,"25–34",IF(Data[[#This Row],[Age]]&lt;45,"35–44",IF(Data[[#This Row],[Age]]&lt;55,"45–54","55+"))))</f>
        <v>45–54</v>
      </c>
      <c r="H1420" t="s">
        <v>25</v>
      </c>
      <c r="I1420" t="s">
        <v>56</v>
      </c>
      <c r="J1420" t="s">
        <v>19</v>
      </c>
      <c r="K1420" s="1">
        <v>37769</v>
      </c>
      <c r="M1420" s="1" t="str">
        <f>IF(ISBLANK(Data[[#This Row],[EndDate]]),"Active","InActive")</f>
        <v>Active</v>
      </c>
      <c r="N1420" t="s">
        <v>57</v>
      </c>
      <c r="O1420" t="s">
        <v>77</v>
      </c>
      <c r="P1420" t="s">
        <v>32</v>
      </c>
      <c r="Q1420" s="2">
        <v>39576</v>
      </c>
    </row>
    <row r="1421" spans="1:17" x14ac:dyDescent="0.2">
      <c r="A1421" s="1">
        <v>43070</v>
      </c>
      <c r="B1421">
        <v>95788</v>
      </c>
      <c r="C1421" t="s">
        <v>79</v>
      </c>
      <c r="D1421" t="s">
        <v>52</v>
      </c>
      <c r="E1421" t="s">
        <v>53</v>
      </c>
      <c r="F1421" s="5">
        <v>51</v>
      </c>
      <c r="G1421" t="str">
        <f>IF(Data[[#This Row],[Age]]&lt;25,"Under 25",IF(Data[[#This Row],[Age]]&lt;35,"25–34",IF(Data[[#This Row],[Age]]&lt;45,"35–44",IF(Data[[#This Row],[Age]]&lt;55,"45–54","55+"))))</f>
        <v>45–54</v>
      </c>
      <c r="H1421" t="s">
        <v>17</v>
      </c>
      <c r="I1421" t="s">
        <v>56</v>
      </c>
      <c r="J1421" t="s">
        <v>19</v>
      </c>
      <c r="K1421" s="1">
        <v>40183</v>
      </c>
      <c r="M1421" s="1" t="str">
        <f>IF(ISBLANK(Data[[#This Row],[EndDate]]),"Active","InActive")</f>
        <v>Active</v>
      </c>
      <c r="N1421" t="s">
        <v>57</v>
      </c>
      <c r="O1421" t="s">
        <v>77</v>
      </c>
      <c r="P1421" t="s">
        <v>32</v>
      </c>
      <c r="Q1421" s="2">
        <v>82314</v>
      </c>
    </row>
    <row r="1422" spans="1:17" x14ac:dyDescent="0.2">
      <c r="A1422" s="1">
        <v>43435</v>
      </c>
      <c r="B1422">
        <v>92242</v>
      </c>
      <c r="C1422" t="s">
        <v>80</v>
      </c>
      <c r="D1422" t="s">
        <v>50</v>
      </c>
      <c r="E1422" t="s">
        <v>51</v>
      </c>
      <c r="F1422" s="5">
        <v>51</v>
      </c>
      <c r="G1422" t="str">
        <f>IF(Data[[#This Row],[Age]]&lt;25,"Under 25",IF(Data[[#This Row],[Age]]&lt;35,"25–34",IF(Data[[#This Row],[Age]]&lt;45,"35–44",IF(Data[[#This Row],[Age]]&lt;55,"45–54","55+"))))</f>
        <v>45–54</v>
      </c>
      <c r="H1422" t="s">
        <v>25</v>
      </c>
      <c r="I1422" t="s">
        <v>56</v>
      </c>
      <c r="J1422" t="s">
        <v>19</v>
      </c>
      <c r="K1422" s="1">
        <v>41828</v>
      </c>
      <c r="M1422" s="1" t="str">
        <f>IF(ISBLANK(Data[[#This Row],[EndDate]]),"Active","InActive")</f>
        <v>Active</v>
      </c>
      <c r="N1422" t="s">
        <v>57</v>
      </c>
      <c r="O1422" t="s">
        <v>77</v>
      </c>
      <c r="P1422" t="s">
        <v>40</v>
      </c>
      <c r="Q1422" s="2">
        <v>62220</v>
      </c>
    </row>
    <row r="1423" spans="1:17" x14ac:dyDescent="0.2">
      <c r="A1423" s="1">
        <v>43435</v>
      </c>
      <c r="B1423">
        <v>92338</v>
      </c>
      <c r="C1423" t="s">
        <v>79</v>
      </c>
      <c r="D1423" t="s">
        <v>27</v>
      </c>
      <c r="E1423" t="s">
        <v>28</v>
      </c>
      <c r="F1423" s="5">
        <v>51</v>
      </c>
      <c r="G1423" t="str">
        <f>IF(Data[[#This Row],[Age]]&lt;25,"Under 25",IF(Data[[#This Row],[Age]]&lt;35,"25–34",IF(Data[[#This Row],[Age]]&lt;45,"35–44",IF(Data[[#This Row],[Age]]&lt;55,"45–54","55+"))))</f>
        <v>45–54</v>
      </c>
      <c r="H1423" t="s">
        <v>25</v>
      </c>
      <c r="I1423" t="s">
        <v>56</v>
      </c>
      <c r="J1423" t="s">
        <v>19</v>
      </c>
      <c r="K1423" s="1">
        <v>40036</v>
      </c>
      <c r="M1423" s="1" t="str">
        <f>IF(ISBLANK(Data[[#This Row],[EndDate]]),"Active","InActive")</f>
        <v>Active</v>
      </c>
      <c r="N1423" t="s">
        <v>57</v>
      </c>
      <c r="O1423" t="s">
        <v>77</v>
      </c>
      <c r="P1423" t="s">
        <v>40</v>
      </c>
      <c r="Q1423" s="2">
        <v>46308</v>
      </c>
    </row>
    <row r="1424" spans="1:17" x14ac:dyDescent="0.2">
      <c r="A1424" s="1">
        <v>43435</v>
      </c>
      <c r="B1424">
        <v>95744</v>
      </c>
      <c r="C1424" t="s">
        <v>79</v>
      </c>
      <c r="D1424" t="s">
        <v>52</v>
      </c>
      <c r="E1424" t="s">
        <v>69</v>
      </c>
      <c r="F1424" s="5">
        <v>51</v>
      </c>
      <c r="G1424" t="str">
        <f>IF(Data[[#This Row],[Age]]&lt;25,"Under 25",IF(Data[[#This Row],[Age]]&lt;35,"25–34",IF(Data[[#This Row],[Age]]&lt;45,"35–44",IF(Data[[#This Row],[Age]]&lt;55,"45–54","55+"))))</f>
        <v>45–54</v>
      </c>
      <c r="H1424" t="s">
        <v>46</v>
      </c>
      <c r="I1424" t="s">
        <v>56</v>
      </c>
      <c r="J1424" t="s">
        <v>19</v>
      </c>
      <c r="K1424" s="1">
        <v>31839</v>
      </c>
      <c r="M1424" s="1" t="str">
        <f>IF(ISBLANK(Data[[#This Row],[EndDate]]),"Active","InActive")</f>
        <v>Active</v>
      </c>
      <c r="N1424" t="s">
        <v>57</v>
      </c>
      <c r="O1424" t="s">
        <v>77</v>
      </c>
      <c r="P1424" t="s">
        <v>40</v>
      </c>
      <c r="Q1424" s="2">
        <v>101592</v>
      </c>
    </row>
    <row r="1425" spans="1:17" x14ac:dyDescent="0.2">
      <c r="A1425" s="1">
        <v>42705</v>
      </c>
      <c r="B1425">
        <v>33148</v>
      </c>
      <c r="C1425" t="s">
        <v>80</v>
      </c>
      <c r="D1425" t="s">
        <v>50</v>
      </c>
      <c r="E1425" t="s">
        <v>63</v>
      </c>
      <c r="F1425" s="5">
        <v>51</v>
      </c>
      <c r="G1425" t="str">
        <f>IF(Data[[#This Row],[Age]]&lt;25,"Under 25",IF(Data[[#This Row],[Age]]&lt;35,"25–34",IF(Data[[#This Row],[Age]]&lt;45,"35–44",IF(Data[[#This Row],[Age]]&lt;55,"45–54","55+"))))</f>
        <v>45–54</v>
      </c>
      <c r="H1425" t="s">
        <v>25</v>
      </c>
      <c r="I1425" t="s">
        <v>18</v>
      </c>
      <c r="J1425" t="s">
        <v>35</v>
      </c>
      <c r="K1425" s="1">
        <v>41122</v>
      </c>
      <c r="M1425" s="1" t="str">
        <f>IF(ISBLANK(Data[[#This Row],[EndDate]]),"Active","InActive")</f>
        <v>Active</v>
      </c>
      <c r="N1425" t="s">
        <v>20</v>
      </c>
      <c r="O1425" t="s">
        <v>77</v>
      </c>
      <c r="P1425" t="s">
        <v>22</v>
      </c>
      <c r="Q1425" s="2">
        <v>27336</v>
      </c>
    </row>
    <row r="1426" spans="1:17" x14ac:dyDescent="0.2">
      <c r="A1426" s="1">
        <v>43070</v>
      </c>
      <c r="B1426">
        <v>28016</v>
      </c>
      <c r="C1426" t="s">
        <v>80</v>
      </c>
      <c r="D1426" t="s">
        <v>27</v>
      </c>
      <c r="E1426" t="s">
        <v>28</v>
      </c>
      <c r="F1426" s="5">
        <v>51</v>
      </c>
      <c r="G1426" t="str">
        <f>IF(Data[[#This Row],[Age]]&lt;25,"Under 25",IF(Data[[#This Row],[Age]]&lt;35,"25–34",IF(Data[[#This Row],[Age]]&lt;45,"35–44",IF(Data[[#This Row],[Age]]&lt;55,"45–54","55+"))))</f>
        <v>45–54</v>
      </c>
      <c r="H1426" t="s">
        <v>34</v>
      </c>
      <c r="I1426" t="s">
        <v>18</v>
      </c>
      <c r="J1426" t="s">
        <v>37</v>
      </c>
      <c r="K1426" s="1">
        <v>41333</v>
      </c>
      <c r="M1426" s="1" t="str">
        <f>IF(ISBLANK(Data[[#This Row],[EndDate]]),"Active","InActive")</f>
        <v>Active</v>
      </c>
      <c r="N1426" t="s">
        <v>20</v>
      </c>
      <c r="O1426" t="s">
        <v>77</v>
      </c>
      <c r="P1426" t="s">
        <v>32</v>
      </c>
      <c r="Q1426" s="2">
        <v>44166</v>
      </c>
    </row>
    <row r="1427" spans="1:17" x14ac:dyDescent="0.2">
      <c r="A1427" s="1">
        <v>43070</v>
      </c>
      <c r="B1427">
        <v>41518</v>
      </c>
      <c r="C1427" t="s">
        <v>80</v>
      </c>
      <c r="D1427" t="s">
        <v>43</v>
      </c>
      <c r="E1427" t="s">
        <v>60</v>
      </c>
      <c r="F1427" s="5">
        <v>51</v>
      </c>
      <c r="G1427" t="str">
        <f>IF(Data[[#This Row],[Age]]&lt;25,"Under 25",IF(Data[[#This Row],[Age]]&lt;35,"25–34",IF(Data[[#This Row],[Age]]&lt;45,"35–44",IF(Data[[#This Row],[Age]]&lt;55,"45–54","55+"))))</f>
        <v>45–54</v>
      </c>
      <c r="H1427" t="s">
        <v>59</v>
      </c>
      <c r="I1427" t="s">
        <v>18</v>
      </c>
      <c r="J1427" t="s">
        <v>35</v>
      </c>
      <c r="K1427" s="1">
        <v>41467</v>
      </c>
      <c r="M1427" s="1" t="str">
        <f>IF(ISBLANK(Data[[#This Row],[EndDate]]),"Active","InActive")</f>
        <v>Active</v>
      </c>
      <c r="N1427" t="s">
        <v>20</v>
      </c>
      <c r="O1427" t="s">
        <v>77</v>
      </c>
      <c r="P1427" t="s">
        <v>32</v>
      </c>
      <c r="Q1427" s="2">
        <v>32640</v>
      </c>
    </row>
    <row r="1428" spans="1:17" x14ac:dyDescent="0.2">
      <c r="A1428" s="1">
        <v>43435</v>
      </c>
      <c r="B1428">
        <v>41526</v>
      </c>
      <c r="C1428" t="s">
        <v>80</v>
      </c>
      <c r="D1428" t="s">
        <v>47</v>
      </c>
      <c r="E1428" t="s">
        <v>73</v>
      </c>
      <c r="F1428" s="5">
        <v>51</v>
      </c>
      <c r="G1428" t="str">
        <f>IF(Data[[#This Row],[Age]]&lt;25,"Under 25",IF(Data[[#This Row],[Age]]&lt;35,"25–34",IF(Data[[#This Row],[Age]]&lt;45,"35–44",IF(Data[[#This Row],[Age]]&lt;55,"45–54","55+"))))</f>
        <v>45–54</v>
      </c>
      <c r="H1428" t="s">
        <v>46</v>
      </c>
      <c r="I1428" t="s">
        <v>18</v>
      </c>
      <c r="J1428" t="s">
        <v>35</v>
      </c>
      <c r="K1428" s="1">
        <v>41766</v>
      </c>
      <c r="M1428" s="1" t="str">
        <f>IF(ISBLANK(Data[[#This Row],[EndDate]]),"Active","InActive")</f>
        <v>Active</v>
      </c>
      <c r="N1428" t="s">
        <v>20</v>
      </c>
      <c r="O1428" t="s">
        <v>77</v>
      </c>
      <c r="P1428" t="s">
        <v>40</v>
      </c>
      <c r="Q1428" s="2">
        <v>101286</v>
      </c>
    </row>
    <row r="1429" spans="1:17" x14ac:dyDescent="0.2">
      <c r="A1429" s="1">
        <v>43435</v>
      </c>
      <c r="B1429">
        <v>42910</v>
      </c>
      <c r="C1429" t="s">
        <v>80</v>
      </c>
      <c r="D1429" t="s">
        <v>50</v>
      </c>
      <c r="E1429" t="s">
        <v>55</v>
      </c>
      <c r="F1429" s="5">
        <v>51</v>
      </c>
      <c r="G1429" t="str">
        <f>IF(Data[[#This Row],[Age]]&lt;25,"Under 25",IF(Data[[#This Row],[Age]]&lt;35,"25–34",IF(Data[[#This Row],[Age]]&lt;45,"35–44",IF(Data[[#This Row],[Age]]&lt;55,"45–54","55+"))))</f>
        <v>45–54</v>
      </c>
      <c r="H1429" t="s">
        <v>49</v>
      </c>
      <c r="I1429" t="s">
        <v>18</v>
      </c>
      <c r="J1429" t="s">
        <v>35</v>
      </c>
      <c r="K1429" s="1">
        <v>41923</v>
      </c>
      <c r="M1429" s="1" t="str">
        <f>IF(ISBLANK(Data[[#This Row],[EndDate]]),"Active","InActive")</f>
        <v>Active</v>
      </c>
      <c r="N1429" t="s">
        <v>20</v>
      </c>
      <c r="O1429" t="s">
        <v>77</v>
      </c>
      <c r="P1429" t="s">
        <v>40</v>
      </c>
      <c r="Q1429" s="2">
        <v>58140</v>
      </c>
    </row>
    <row r="1430" spans="1:17" x14ac:dyDescent="0.2">
      <c r="A1430" s="1">
        <v>43435</v>
      </c>
      <c r="B1430">
        <v>52698</v>
      </c>
      <c r="C1430" t="s">
        <v>80</v>
      </c>
      <c r="D1430" t="s">
        <v>50</v>
      </c>
      <c r="E1430" t="s">
        <v>63</v>
      </c>
      <c r="F1430" s="5">
        <v>51</v>
      </c>
      <c r="G1430" t="str">
        <f>IF(Data[[#This Row],[Age]]&lt;25,"Under 25",IF(Data[[#This Row],[Age]]&lt;35,"25–34",IF(Data[[#This Row],[Age]]&lt;45,"35–44",IF(Data[[#This Row],[Age]]&lt;55,"45–54","55+"))))</f>
        <v>45–54</v>
      </c>
      <c r="H1430" t="s">
        <v>34</v>
      </c>
      <c r="I1430" t="s">
        <v>18</v>
      </c>
      <c r="J1430" t="s">
        <v>26</v>
      </c>
      <c r="K1430" s="1">
        <v>41401</v>
      </c>
      <c r="M1430" s="1" t="str">
        <f>IF(ISBLANK(Data[[#This Row],[EndDate]]),"Active","InActive")</f>
        <v>Active</v>
      </c>
      <c r="N1430" t="s">
        <v>20</v>
      </c>
      <c r="O1430" t="s">
        <v>77</v>
      </c>
      <c r="P1430" t="s">
        <v>40</v>
      </c>
      <c r="Q1430" s="2">
        <v>100062</v>
      </c>
    </row>
    <row r="1431" spans="1:17" x14ac:dyDescent="0.2">
      <c r="A1431" s="1">
        <v>42705</v>
      </c>
      <c r="B1431">
        <v>49164</v>
      </c>
      <c r="C1431" t="s">
        <v>79</v>
      </c>
      <c r="D1431" t="s">
        <v>50</v>
      </c>
      <c r="E1431" t="s">
        <v>63</v>
      </c>
      <c r="F1431" s="5">
        <v>51</v>
      </c>
      <c r="G1431" t="str">
        <f>IF(Data[[#This Row],[Age]]&lt;25,"Under 25",IF(Data[[#This Row],[Age]]&lt;35,"25–34",IF(Data[[#This Row],[Age]]&lt;45,"35–44",IF(Data[[#This Row],[Age]]&lt;55,"45–54","55+"))))</f>
        <v>45–54</v>
      </c>
      <c r="H1431" t="s">
        <v>49</v>
      </c>
      <c r="I1431" t="s">
        <v>56</v>
      </c>
      <c r="J1431" t="s">
        <v>35</v>
      </c>
      <c r="K1431" s="1">
        <v>39555</v>
      </c>
      <c r="M1431" s="1" t="str">
        <f>IF(ISBLANK(Data[[#This Row],[EndDate]]),"Active","InActive")</f>
        <v>Active</v>
      </c>
      <c r="N1431" t="s">
        <v>57</v>
      </c>
      <c r="O1431" t="s">
        <v>77</v>
      </c>
      <c r="P1431" t="s">
        <v>22</v>
      </c>
      <c r="Q1431" s="2">
        <v>12546</v>
      </c>
    </row>
    <row r="1432" spans="1:17" x14ac:dyDescent="0.2">
      <c r="A1432" s="1">
        <v>42705</v>
      </c>
      <c r="B1432">
        <v>56330</v>
      </c>
      <c r="C1432" t="s">
        <v>80</v>
      </c>
      <c r="D1432" t="s">
        <v>47</v>
      </c>
      <c r="E1432" t="s">
        <v>64</v>
      </c>
      <c r="F1432" s="5">
        <v>51</v>
      </c>
      <c r="G1432" t="str">
        <f>IF(Data[[#This Row],[Age]]&lt;25,"Under 25",IF(Data[[#This Row],[Age]]&lt;35,"25–34",IF(Data[[#This Row],[Age]]&lt;45,"35–44",IF(Data[[#This Row],[Age]]&lt;55,"45–54","55+"))))</f>
        <v>45–54</v>
      </c>
      <c r="H1432" t="s">
        <v>34</v>
      </c>
      <c r="I1432" t="s">
        <v>56</v>
      </c>
      <c r="J1432" t="s">
        <v>26</v>
      </c>
      <c r="K1432" s="1">
        <v>40134</v>
      </c>
      <c r="M1432" s="1" t="str">
        <f>IF(ISBLANK(Data[[#This Row],[EndDate]]),"Active","InActive")</f>
        <v>Active</v>
      </c>
      <c r="N1432" t="s">
        <v>57</v>
      </c>
      <c r="O1432" t="s">
        <v>77</v>
      </c>
      <c r="P1432" t="s">
        <v>22</v>
      </c>
      <c r="Q1432" s="2">
        <v>39168</v>
      </c>
    </row>
    <row r="1433" spans="1:17" x14ac:dyDescent="0.2">
      <c r="A1433" s="1">
        <v>42705</v>
      </c>
      <c r="B1433">
        <v>92438</v>
      </c>
      <c r="C1433" t="s">
        <v>79</v>
      </c>
      <c r="D1433" t="s">
        <v>50</v>
      </c>
      <c r="E1433" t="s">
        <v>55</v>
      </c>
      <c r="F1433" s="5">
        <v>51</v>
      </c>
      <c r="G1433" t="str">
        <f>IF(Data[[#This Row],[Age]]&lt;25,"Under 25",IF(Data[[#This Row],[Age]]&lt;35,"25–34",IF(Data[[#This Row],[Age]]&lt;45,"35–44",IF(Data[[#This Row],[Age]]&lt;55,"45–54","55+"))))</f>
        <v>45–54</v>
      </c>
      <c r="H1433" t="s">
        <v>46</v>
      </c>
      <c r="I1433" t="s">
        <v>56</v>
      </c>
      <c r="J1433" t="s">
        <v>19</v>
      </c>
      <c r="K1433" s="1">
        <v>39434</v>
      </c>
      <c r="M1433" s="1" t="str">
        <f>IF(ISBLANK(Data[[#This Row],[EndDate]]),"Active","InActive")</f>
        <v>Active</v>
      </c>
      <c r="N1433" t="s">
        <v>57</v>
      </c>
      <c r="O1433" t="s">
        <v>77</v>
      </c>
      <c r="P1433" t="s">
        <v>22</v>
      </c>
      <c r="Q1433" s="2">
        <v>89556</v>
      </c>
    </row>
    <row r="1434" spans="1:17" x14ac:dyDescent="0.2">
      <c r="A1434" s="1">
        <v>42705</v>
      </c>
      <c r="B1434">
        <v>113418</v>
      </c>
      <c r="C1434" t="s">
        <v>79</v>
      </c>
      <c r="D1434" t="s">
        <v>52</v>
      </c>
      <c r="E1434" t="s">
        <v>67</v>
      </c>
      <c r="F1434" s="5">
        <v>51</v>
      </c>
      <c r="G1434" t="str">
        <f>IF(Data[[#This Row],[Age]]&lt;25,"Under 25",IF(Data[[#This Row],[Age]]&lt;35,"25–34",IF(Data[[#This Row],[Age]]&lt;45,"35–44",IF(Data[[#This Row],[Age]]&lt;55,"45–54","55+"))))</f>
        <v>45–54</v>
      </c>
      <c r="H1434" t="s">
        <v>31</v>
      </c>
      <c r="I1434" t="s">
        <v>56</v>
      </c>
      <c r="J1434" t="s">
        <v>35</v>
      </c>
      <c r="K1434" s="1">
        <v>41012</v>
      </c>
      <c r="M1434" s="1" t="str">
        <f>IF(ISBLANK(Data[[#This Row],[EndDate]]),"Active","InActive")</f>
        <v>Active</v>
      </c>
      <c r="N1434" t="s">
        <v>57</v>
      </c>
      <c r="O1434" t="s">
        <v>77</v>
      </c>
      <c r="P1434" t="s">
        <v>22</v>
      </c>
      <c r="Q1434" s="2">
        <v>102000</v>
      </c>
    </row>
    <row r="1435" spans="1:17" x14ac:dyDescent="0.2">
      <c r="A1435" s="1">
        <v>42705</v>
      </c>
      <c r="B1435">
        <v>116336</v>
      </c>
      <c r="C1435" t="s">
        <v>79</v>
      </c>
      <c r="D1435" t="s">
        <v>41</v>
      </c>
      <c r="E1435" t="s">
        <v>42</v>
      </c>
      <c r="F1435" s="5">
        <v>51</v>
      </c>
      <c r="G1435" t="str">
        <f>IF(Data[[#This Row],[Age]]&lt;25,"Under 25",IF(Data[[#This Row],[Age]]&lt;35,"25–34",IF(Data[[#This Row],[Age]]&lt;45,"35–44",IF(Data[[#This Row],[Age]]&lt;55,"45–54","55+"))))</f>
        <v>45–54</v>
      </c>
      <c r="H1435" t="s">
        <v>17</v>
      </c>
      <c r="I1435" t="s">
        <v>56</v>
      </c>
      <c r="J1435" t="s">
        <v>37</v>
      </c>
      <c r="K1435" s="1">
        <v>41132</v>
      </c>
      <c r="M1435" s="1" t="str">
        <f>IF(ISBLANK(Data[[#This Row],[EndDate]]),"Active","InActive")</f>
        <v>Active</v>
      </c>
      <c r="N1435" t="s">
        <v>57</v>
      </c>
      <c r="O1435" t="s">
        <v>77</v>
      </c>
      <c r="P1435" t="s">
        <v>22</v>
      </c>
      <c r="Q1435" s="2">
        <v>20910</v>
      </c>
    </row>
    <row r="1436" spans="1:17" x14ac:dyDescent="0.2">
      <c r="A1436" s="1">
        <v>43070</v>
      </c>
      <c r="B1436">
        <v>49748</v>
      </c>
      <c r="C1436" t="s">
        <v>79</v>
      </c>
      <c r="D1436" t="s">
        <v>47</v>
      </c>
      <c r="E1436" t="s">
        <v>73</v>
      </c>
      <c r="F1436" s="5">
        <v>51</v>
      </c>
      <c r="G1436" t="str">
        <f>IF(Data[[#This Row],[Age]]&lt;25,"Under 25",IF(Data[[#This Row],[Age]]&lt;35,"25–34",IF(Data[[#This Row],[Age]]&lt;45,"35–44",IF(Data[[#This Row],[Age]]&lt;55,"45–54","55+"))))</f>
        <v>45–54</v>
      </c>
      <c r="H1436" t="s">
        <v>34</v>
      </c>
      <c r="I1436" t="s">
        <v>56</v>
      </c>
      <c r="J1436" t="s">
        <v>37</v>
      </c>
      <c r="K1436" s="1">
        <v>37216</v>
      </c>
      <c r="M1436" s="1" t="str">
        <f>IF(ISBLANK(Data[[#This Row],[EndDate]]),"Active","InActive")</f>
        <v>Active</v>
      </c>
      <c r="N1436" t="s">
        <v>57</v>
      </c>
      <c r="O1436" t="s">
        <v>77</v>
      </c>
      <c r="P1436" t="s">
        <v>32</v>
      </c>
      <c r="Q1436" s="2">
        <v>25602</v>
      </c>
    </row>
    <row r="1437" spans="1:17" x14ac:dyDescent="0.2">
      <c r="A1437" s="1">
        <v>43070</v>
      </c>
      <c r="B1437">
        <v>53266</v>
      </c>
      <c r="C1437" t="s">
        <v>80</v>
      </c>
      <c r="D1437" t="s">
        <v>27</v>
      </c>
      <c r="E1437" t="s">
        <v>72</v>
      </c>
      <c r="F1437" s="5">
        <v>51</v>
      </c>
      <c r="G1437" t="str">
        <f>IF(Data[[#This Row],[Age]]&lt;25,"Under 25",IF(Data[[#This Row],[Age]]&lt;35,"25–34",IF(Data[[#This Row],[Age]]&lt;45,"35–44",IF(Data[[#This Row],[Age]]&lt;55,"45–54","55+"))))</f>
        <v>45–54</v>
      </c>
      <c r="H1437" t="s">
        <v>25</v>
      </c>
      <c r="I1437" t="s">
        <v>56</v>
      </c>
      <c r="J1437" t="s">
        <v>35</v>
      </c>
      <c r="K1437" s="1">
        <v>33400</v>
      </c>
      <c r="M1437" s="1" t="str">
        <f>IF(ISBLANK(Data[[#This Row],[EndDate]]),"Active","InActive")</f>
        <v>Active</v>
      </c>
      <c r="N1437" t="s">
        <v>57</v>
      </c>
      <c r="O1437" t="s">
        <v>77</v>
      </c>
      <c r="P1437" t="s">
        <v>32</v>
      </c>
      <c r="Q1437" s="2">
        <v>64260</v>
      </c>
    </row>
    <row r="1438" spans="1:17" x14ac:dyDescent="0.2">
      <c r="A1438" s="1">
        <v>43070</v>
      </c>
      <c r="B1438">
        <v>55700</v>
      </c>
      <c r="C1438" t="s">
        <v>79</v>
      </c>
      <c r="D1438" t="s">
        <v>29</v>
      </c>
      <c r="E1438" t="s">
        <v>33</v>
      </c>
      <c r="F1438" s="5">
        <v>51</v>
      </c>
      <c r="G1438" t="str">
        <f>IF(Data[[#This Row],[Age]]&lt;25,"Under 25",IF(Data[[#This Row],[Age]]&lt;35,"25–34",IF(Data[[#This Row],[Age]]&lt;45,"35–44",IF(Data[[#This Row],[Age]]&lt;55,"45–54","55+"))))</f>
        <v>45–54</v>
      </c>
      <c r="H1438" t="s">
        <v>46</v>
      </c>
      <c r="I1438" t="s">
        <v>56</v>
      </c>
      <c r="J1438" t="s">
        <v>35</v>
      </c>
      <c r="K1438" s="1">
        <v>38594</v>
      </c>
      <c r="M1438" s="1" t="str">
        <f>IF(ISBLANK(Data[[#This Row],[EndDate]]),"Active","InActive")</f>
        <v>Active</v>
      </c>
      <c r="N1438" t="s">
        <v>57</v>
      </c>
      <c r="O1438" t="s">
        <v>77</v>
      </c>
      <c r="P1438" t="s">
        <v>32</v>
      </c>
      <c r="Q1438" s="2">
        <v>14892</v>
      </c>
    </row>
    <row r="1439" spans="1:17" x14ac:dyDescent="0.2">
      <c r="A1439" s="1">
        <v>43070</v>
      </c>
      <c r="B1439">
        <v>55704</v>
      </c>
      <c r="C1439" t="s">
        <v>80</v>
      </c>
      <c r="D1439" t="s">
        <v>43</v>
      </c>
      <c r="E1439" t="s">
        <v>66</v>
      </c>
      <c r="F1439" s="5">
        <v>51</v>
      </c>
      <c r="G1439" t="str">
        <f>IF(Data[[#This Row],[Age]]&lt;25,"Under 25",IF(Data[[#This Row],[Age]]&lt;35,"25–34",IF(Data[[#This Row],[Age]]&lt;45,"35–44",IF(Data[[#This Row],[Age]]&lt;55,"45–54","55+"))))</f>
        <v>45–54</v>
      </c>
      <c r="H1439" t="s">
        <v>17</v>
      </c>
      <c r="I1439" t="s">
        <v>56</v>
      </c>
      <c r="J1439" t="s">
        <v>35</v>
      </c>
      <c r="K1439" s="1">
        <v>38482</v>
      </c>
      <c r="M1439" s="1" t="str">
        <f>IF(ISBLANK(Data[[#This Row],[EndDate]]),"Active","InActive")</f>
        <v>Active</v>
      </c>
      <c r="N1439" t="s">
        <v>57</v>
      </c>
      <c r="O1439" t="s">
        <v>77</v>
      </c>
      <c r="P1439" t="s">
        <v>32</v>
      </c>
      <c r="Q1439" s="2">
        <v>12240</v>
      </c>
    </row>
    <row r="1440" spans="1:17" x14ac:dyDescent="0.2">
      <c r="A1440" s="1">
        <v>43070</v>
      </c>
      <c r="B1440">
        <v>92056</v>
      </c>
      <c r="C1440" t="s">
        <v>79</v>
      </c>
      <c r="D1440" t="s">
        <v>52</v>
      </c>
      <c r="E1440" t="s">
        <v>69</v>
      </c>
      <c r="F1440" s="5">
        <v>51</v>
      </c>
      <c r="G1440" t="str">
        <f>IF(Data[[#This Row],[Age]]&lt;25,"Under 25",IF(Data[[#This Row],[Age]]&lt;35,"25–34",IF(Data[[#This Row],[Age]]&lt;45,"35–44",IF(Data[[#This Row],[Age]]&lt;55,"45–54","55+"))))</f>
        <v>45–54</v>
      </c>
      <c r="H1440" t="s">
        <v>25</v>
      </c>
      <c r="I1440" t="s">
        <v>56</v>
      </c>
      <c r="J1440" t="s">
        <v>19</v>
      </c>
      <c r="K1440" s="1">
        <v>38797</v>
      </c>
      <c r="M1440" s="1" t="str">
        <f>IF(ISBLANK(Data[[#This Row],[EndDate]]),"Active","InActive")</f>
        <v>Active</v>
      </c>
      <c r="N1440" t="s">
        <v>57</v>
      </c>
      <c r="O1440" t="s">
        <v>77</v>
      </c>
      <c r="P1440" t="s">
        <v>32</v>
      </c>
      <c r="Q1440" s="2">
        <v>45798</v>
      </c>
    </row>
    <row r="1441" spans="1:17" x14ac:dyDescent="0.2">
      <c r="A1441" s="1">
        <v>43435</v>
      </c>
      <c r="B1441">
        <v>49188</v>
      </c>
      <c r="C1441" t="s">
        <v>79</v>
      </c>
      <c r="D1441" t="s">
        <v>41</v>
      </c>
      <c r="E1441" t="s">
        <v>62</v>
      </c>
      <c r="F1441" s="5">
        <v>51</v>
      </c>
      <c r="G1441" t="str">
        <f>IF(Data[[#This Row],[Age]]&lt;25,"Under 25",IF(Data[[#This Row],[Age]]&lt;35,"25–34",IF(Data[[#This Row],[Age]]&lt;45,"35–44",IF(Data[[#This Row],[Age]]&lt;55,"45–54","55+"))))</f>
        <v>45–54</v>
      </c>
      <c r="H1441" t="s">
        <v>46</v>
      </c>
      <c r="I1441" t="s">
        <v>56</v>
      </c>
      <c r="J1441" t="s">
        <v>37</v>
      </c>
      <c r="K1441" s="1">
        <v>29655</v>
      </c>
      <c r="M1441" s="1" t="str">
        <f>IF(ISBLANK(Data[[#This Row],[EndDate]]),"Active","InActive")</f>
        <v>Active</v>
      </c>
      <c r="N1441" t="s">
        <v>57</v>
      </c>
      <c r="O1441" t="s">
        <v>77</v>
      </c>
      <c r="P1441" t="s">
        <v>40</v>
      </c>
      <c r="Q1441" s="2">
        <v>49164</v>
      </c>
    </row>
    <row r="1442" spans="1:17" x14ac:dyDescent="0.2">
      <c r="A1442" s="1">
        <v>43435</v>
      </c>
      <c r="B1442">
        <v>49232</v>
      </c>
      <c r="C1442" t="s">
        <v>80</v>
      </c>
      <c r="D1442" t="s">
        <v>23</v>
      </c>
      <c r="E1442" t="s">
        <v>24</v>
      </c>
      <c r="F1442" s="5">
        <v>51</v>
      </c>
      <c r="G1442" t="str">
        <f>IF(Data[[#This Row],[Age]]&lt;25,"Under 25",IF(Data[[#This Row],[Age]]&lt;35,"25–34",IF(Data[[#This Row],[Age]]&lt;45,"35–44",IF(Data[[#This Row],[Age]]&lt;55,"45–54","55+"))))</f>
        <v>45–54</v>
      </c>
      <c r="H1442" t="s">
        <v>34</v>
      </c>
      <c r="I1442" t="s">
        <v>56</v>
      </c>
      <c r="J1442" t="s">
        <v>37</v>
      </c>
      <c r="K1442" s="1">
        <v>41095</v>
      </c>
      <c r="M1442" s="1" t="str">
        <f>IF(ISBLANK(Data[[#This Row],[EndDate]]),"Active","InActive")</f>
        <v>Active</v>
      </c>
      <c r="N1442" t="s">
        <v>57</v>
      </c>
      <c r="O1442" t="s">
        <v>77</v>
      </c>
      <c r="P1442" t="s">
        <v>40</v>
      </c>
      <c r="Q1442" s="2">
        <v>55896</v>
      </c>
    </row>
    <row r="1443" spans="1:17" x14ac:dyDescent="0.2">
      <c r="A1443" s="1">
        <v>43435</v>
      </c>
      <c r="B1443">
        <v>51922</v>
      </c>
      <c r="C1443" t="s">
        <v>80</v>
      </c>
      <c r="D1443" t="s">
        <v>27</v>
      </c>
      <c r="E1443" t="s">
        <v>72</v>
      </c>
      <c r="F1443" s="5">
        <v>51</v>
      </c>
      <c r="G1443" t="str">
        <f>IF(Data[[#This Row],[Age]]&lt;25,"Under 25",IF(Data[[#This Row],[Age]]&lt;35,"25–34",IF(Data[[#This Row],[Age]]&lt;45,"35–44",IF(Data[[#This Row],[Age]]&lt;55,"45–54","55+"))))</f>
        <v>45–54</v>
      </c>
      <c r="H1443" t="s">
        <v>17</v>
      </c>
      <c r="I1443" t="s">
        <v>56</v>
      </c>
      <c r="J1443" t="s">
        <v>35</v>
      </c>
      <c r="K1443" s="1">
        <v>38211</v>
      </c>
      <c r="M1443" s="1" t="str">
        <f>IF(ISBLANK(Data[[#This Row],[EndDate]]),"Active","InActive")</f>
        <v>Active</v>
      </c>
      <c r="N1443" t="s">
        <v>57</v>
      </c>
      <c r="O1443" t="s">
        <v>77</v>
      </c>
      <c r="P1443" t="s">
        <v>40</v>
      </c>
      <c r="Q1443" s="2">
        <v>55182</v>
      </c>
    </row>
    <row r="1444" spans="1:17" x14ac:dyDescent="0.2">
      <c r="A1444" s="1">
        <v>43435</v>
      </c>
      <c r="B1444">
        <v>54082</v>
      </c>
      <c r="C1444" t="s">
        <v>80</v>
      </c>
      <c r="D1444" t="s">
        <v>50</v>
      </c>
      <c r="E1444" t="s">
        <v>51</v>
      </c>
      <c r="F1444" s="5">
        <v>51</v>
      </c>
      <c r="G1444" t="str">
        <f>IF(Data[[#This Row],[Age]]&lt;25,"Under 25",IF(Data[[#This Row],[Age]]&lt;35,"25–34",IF(Data[[#This Row],[Age]]&lt;45,"35–44",IF(Data[[#This Row],[Age]]&lt;55,"45–54","55+"))))</f>
        <v>45–54</v>
      </c>
      <c r="H1444" t="s">
        <v>17</v>
      </c>
      <c r="I1444" t="s">
        <v>56</v>
      </c>
      <c r="J1444" t="s">
        <v>26</v>
      </c>
      <c r="K1444" s="1">
        <v>39317</v>
      </c>
      <c r="M1444" s="1" t="str">
        <f>IF(ISBLANK(Data[[#This Row],[EndDate]]),"Active","InActive")</f>
        <v>Active</v>
      </c>
      <c r="N1444" t="s">
        <v>57</v>
      </c>
      <c r="O1444" t="s">
        <v>77</v>
      </c>
      <c r="P1444" t="s">
        <v>40</v>
      </c>
      <c r="Q1444" s="2">
        <v>101286</v>
      </c>
    </row>
    <row r="1445" spans="1:17" x14ac:dyDescent="0.2">
      <c r="A1445" s="1">
        <v>43435</v>
      </c>
      <c r="B1445">
        <v>56498</v>
      </c>
      <c r="C1445" t="s">
        <v>80</v>
      </c>
      <c r="D1445" t="s">
        <v>15</v>
      </c>
      <c r="E1445" t="s">
        <v>16</v>
      </c>
      <c r="F1445" s="5">
        <v>51</v>
      </c>
      <c r="G1445" t="str">
        <f>IF(Data[[#This Row],[Age]]&lt;25,"Under 25",IF(Data[[#This Row],[Age]]&lt;35,"25–34",IF(Data[[#This Row],[Age]]&lt;45,"35–44",IF(Data[[#This Row],[Age]]&lt;55,"45–54","55+"))))</f>
        <v>45–54</v>
      </c>
      <c r="H1445" t="s">
        <v>59</v>
      </c>
      <c r="I1445" t="s">
        <v>56</v>
      </c>
      <c r="J1445" t="s">
        <v>37</v>
      </c>
      <c r="K1445" s="1">
        <v>36552</v>
      </c>
      <c r="M1445" s="1" t="str">
        <f>IF(ISBLANK(Data[[#This Row],[EndDate]]),"Active","InActive")</f>
        <v>Active</v>
      </c>
      <c r="N1445" t="s">
        <v>57</v>
      </c>
      <c r="O1445" t="s">
        <v>77</v>
      </c>
      <c r="P1445" t="s">
        <v>40</v>
      </c>
      <c r="Q1445" s="2">
        <v>89454</v>
      </c>
    </row>
    <row r="1446" spans="1:17" x14ac:dyDescent="0.2">
      <c r="A1446" s="1">
        <v>43435</v>
      </c>
      <c r="B1446">
        <v>92260</v>
      </c>
      <c r="C1446" t="s">
        <v>80</v>
      </c>
      <c r="D1446" t="s">
        <v>15</v>
      </c>
      <c r="E1446" t="s">
        <v>70</v>
      </c>
      <c r="F1446" s="5">
        <v>51</v>
      </c>
      <c r="G1446" t="str">
        <f>IF(Data[[#This Row],[Age]]&lt;25,"Under 25",IF(Data[[#This Row],[Age]]&lt;35,"25–34",IF(Data[[#This Row],[Age]]&lt;45,"35–44",IF(Data[[#This Row],[Age]]&lt;55,"45–54","55+"))))</f>
        <v>45–54</v>
      </c>
      <c r="H1446" t="s">
        <v>46</v>
      </c>
      <c r="I1446" t="s">
        <v>56</v>
      </c>
      <c r="J1446" t="s">
        <v>19</v>
      </c>
      <c r="K1446" s="1">
        <v>39626</v>
      </c>
      <c r="M1446" s="1" t="str">
        <f>IF(ISBLANK(Data[[#This Row],[EndDate]]),"Active","InActive")</f>
        <v>Active</v>
      </c>
      <c r="N1446" t="s">
        <v>57</v>
      </c>
      <c r="O1446" t="s">
        <v>77</v>
      </c>
      <c r="P1446" t="s">
        <v>40</v>
      </c>
      <c r="Q1446" s="2">
        <v>44472</v>
      </c>
    </row>
    <row r="1447" spans="1:17" x14ac:dyDescent="0.2">
      <c r="A1447" s="1">
        <v>43070</v>
      </c>
      <c r="B1447">
        <v>53868</v>
      </c>
      <c r="C1447" t="s">
        <v>80</v>
      </c>
      <c r="D1447" t="s">
        <v>47</v>
      </c>
      <c r="E1447" t="s">
        <v>48</v>
      </c>
      <c r="F1447" s="5">
        <v>52</v>
      </c>
      <c r="G1447" t="str">
        <f>IF(Data[[#This Row],[Age]]&lt;25,"Under 25",IF(Data[[#This Row],[Age]]&lt;35,"25–34",IF(Data[[#This Row],[Age]]&lt;45,"35–44",IF(Data[[#This Row],[Age]]&lt;55,"45–54","55+"))))</f>
        <v>45–54</v>
      </c>
      <c r="H1447" t="s">
        <v>17</v>
      </c>
      <c r="I1447" t="s">
        <v>18</v>
      </c>
      <c r="J1447" t="s">
        <v>26</v>
      </c>
      <c r="K1447" s="1">
        <v>41609</v>
      </c>
      <c r="L1447" s="1">
        <v>41709</v>
      </c>
      <c r="M1447" s="1" t="str">
        <f>IF(ISBLANK(Data[[#This Row],[EndDate]]),"Active","InActive")</f>
        <v>InActive</v>
      </c>
      <c r="N1447" t="s">
        <v>20</v>
      </c>
      <c r="O1447" t="s">
        <v>77</v>
      </c>
      <c r="P1447" t="s">
        <v>32</v>
      </c>
      <c r="Q1447" s="2">
        <v>38792</v>
      </c>
    </row>
    <row r="1448" spans="1:17" x14ac:dyDescent="0.2">
      <c r="A1448" s="1">
        <v>42705</v>
      </c>
      <c r="B1448">
        <v>53612</v>
      </c>
      <c r="C1448" t="s">
        <v>79</v>
      </c>
      <c r="D1448" t="s">
        <v>38</v>
      </c>
      <c r="E1448" t="s">
        <v>61</v>
      </c>
      <c r="F1448" s="5">
        <v>52</v>
      </c>
      <c r="G1448" t="str">
        <f>IF(Data[[#This Row],[Age]]&lt;25,"Under 25",IF(Data[[#This Row],[Age]]&lt;35,"25–34",IF(Data[[#This Row],[Age]]&lt;45,"35–44",IF(Data[[#This Row],[Age]]&lt;55,"45–54","55+"))))</f>
        <v>45–54</v>
      </c>
      <c r="H1448" t="s">
        <v>34</v>
      </c>
      <c r="I1448" t="s">
        <v>56</v>
      </c>
      <c r="J1448" t="s">
        <v>35</v>
      </c>
      <c r="K1448" s="1">
        <v>37166</v>
      </c>
      <c r="M1448" s="1" t="str">
        <f>IF(ISBLANK(Data[[#This Row],[EndDate]]),"Active","InActive")</f>
        <v>Active</v>
      </c>
      <c r="N1448" t="s">
        <v>57</v>
      </c>
      <c r="O1448" t="s">
        <v>77</v>
      </c>
      <c r="P1448" t="s">
        <v>22</v>
      </c>
      <c r="Q1448" s="2">
        <v>19448</v>
      </c>
    </row>
    <row r="1449" spans="1:17" x14ac:dyDescent="0.2">
      <c r="A1449" s="1">
        <v>43435</v>
      </c>
      <c r="B1449">
        <v>52954</v>
      </c>
      <c r="C1449" t="s">
        <v>80</v>
      </c>
      <c r="D1449" t="s">
        <v>23</v>
      </c>
      <c r="E1449" t="s">
        <v>71</v>
      </c>
      <c r="F1449" s="5">
        <v>52</v>
      </c>
      <c r="G1449" t="str">
        <f>IF(Data[[#This Row],[Age]]&lt;25,"Under 25",IF(Data[[#This Row],[Age]]&lt;35,"25–34",IF(Data[[#This Row],[Age]]&lt;45,"35–44",IF(Data[[#This Row],[Age]]&lt;55,"45–54","55+"))))</f>
        <v>45–54</v>
      </c>
      <c r="H1449" t="s">
        <v>17</v>
      </c>
      <c r="I1449" t="s">
        <v>56</v>
      </c>
      <c r="J1449" t="s">
        <v>37</v>
      </c>
      <c r="K1449" s="1">
        <v>32567</v>
      </c>
      <c r="M1449" s="1" t="str">
        <f>IF(ISBLANK(Data[[#This Row],[EndDate]]),"Active","InActive")</f>
        <v>Active</v>
      </c>
      <c r="N1449" t="s">
        <v>57</v>
      </c>
      <c r="O1449" t="s">
        <v>77</v>
      </c>
      <c r="P1449" t="s">
        <v>40</v>
      </c>
      <c r="Q1449" s="2">
        <v>78416</v>
      </c>
    </row>
    <row r="1450" spans="1:17" x14ac:dyDescent="0.2">
      <c r="A1450" s="1">
        <v>42705</v>
      </c>
      <c r="B1450">
        <v>95772</v>
      </c>
      <c r="C1450" t="s">
        <v>79</v>
      </c>
      <c r="D1450" t="s">
        <v>41</v>
      </c>
      <c r="E1450" t="s">
        <v>68</v>
      </c>
      <c r="F1450" s="5">
        <v>52</v>
      </c>
      <c r="G1450" t="str">
        <f>IF(Data[[#This Row],[Age]]&lt;25,"Under 25",IF(Data[[#This Row],[Age]]&lt;35,"25–34",IF(Data[[#This Row],[Age]]&lt;45,"35–44",IF(Data[[#This Row],[Age]]&lt;55,"45–54","55+"))))</f>
        <v>45–54</v>
      </c>
      <c r="H1450" t="s">
        <v>49</v>
      </c>
      <c r="I1450" t="s">
        <v>56</v>
      </c>
      <c r="J1450" t="s">
        <v>19</v>
      </c>
      <c r="K1450" s="1">
        <v>30817</v>
      </c>
      <c r="M1450" s="1" t="str">
        <f>IF(ISBLANK(Data[[#This Row],[EndDate]]),"Active","InActive")</f>
        <v>Active</v>
      </c>
      <c r="N1450" t="s">
        <v>57</v>
      </c>
      <c r="O1450" t="s">
        <v>77</v>
      </c>
      <c r="P1450" t="s">
        <v>22</v>
      </c>
      <c r="Q1450" s="2">
        <v>21008</v>
      </c>
    </row>
    <row r="1451" spans="1:17" x14ac:dyDescent="0.2">
      <c r="A1451" s="1">
        <v>43070</v>
      </c>
      <c r="B1451">
        <v>92254</v>
      </c>
      <c r="C1451" t="s">
        <v>80</v>
      </c>
      <c r="D1451" t="s">
        <v>47</v>
      </c>
      <c r="E1451" t="s">
        <v>48</v>
      </c>
      <c r="F1451" s="5">
        <v>52</v>
      </c>
      <c r="G1451" t="str">
        <f>IF(Data[[#This Row],[Age]]&lt;25,"Under 25",IF(Data[[#This Row],[Age]]&lt;35,"25–34",IF(Data[[#This Row],[Age]]&lt;45,"35–44",IF(Data[[#This Row],[Age]]&lt;55,"45–54","55+"))))</f>
        <v>45–54</v>
      </c>
      <c r="H1451" t="s">
        <v>25</v>
      </c>
      <c r="I1451" t="s">
        <v>56</v>
      </c>
      <c r="J1451" t="s">
        <v>19</v>
      </c>
      <c r="K1451" s="1">
        <v>40862</v>
      </c>
      <c r="M1451" s="1" t="str">
        <f>IF(ISBLANK(Data[[#This Row],[EndDate]]),"Active","InActive")</f>
        <v>Active</v>
      </c>
      <c r="N1451" t="s">
        <v>57</v>
      </c>
      <c r="O1451" t="s">
        <v>77</v>
      </c>
      <c r="P1451" t="s">
        <v>32</v>
      </c>
      <c r="Q1451" s="2">
        <v>67600</v>
      </c>
    </row>
    <row r="1452" spans="1:17" x14ac:dyDescent="0.2">
      <c r="A1452" s="1">
        <v>43435</v>
      </c>
      <c r="B1452">
        <v>92072</v>
      </c>
      <c r="C1452" t="s">
        <v>79</v>
      </c>
      <c r="D1452" t="s">
        <v>27</v>
      </c>
      <c r="E1452" t="s">
        <v>72</v>
      </c>
      <c r="F1452" s="5">
        <v>52</v>
      </c>
      <c r="G1452" t="str">
        <f>IF(Data[[#This Row],[Age]]&lt;25,"Under 25",IF(Data[[#This Row],[Age]]&lt;35,"25–34",IF(Data[[#This Row],[Age]]&lt;45,"35–44",IF(Data[[#This Row],[Age]]&lt;55,"45–54","55+"))))</f>
        <v>45–54</v>
      </c>
      <c r="H1452" t="s">
        <v>46</v>
      </c>
      <c r="I1452" t="s">
        <v>56</v>
      </c>
      <c r="J1452" t="s">
        <v>19</v>
      </c>
      <c r="K1452" s="1">
        <v>39686</v>
      </c>
      <c r="M1452" s="1" t="str">
        <f>IF(ISBLANK(Data[[#This Row],[EndDate]]),"Active","InActive")</f>
        <v>Active</v>
      </c>
      <c r="N1452" t="s">
        <v>57</v>
      </c>
      <c r="O1452" t="s">
        <v>77</v>
      </c>
      <c r="P1452" t="s">
        <v>40</v>
      </c>
      <c r="Q1452" s="2">
        <v>99528</v>
      </c>
    </row>
    <row r="1453" spans="1:17" x14ac:dyDescent="0.2">
      <c r="A1453" s="1">
        <v>43435</v>
      </c>
      <c r="B1453">
        <v>95728</v>
      </c>
      <c r="C1453" t="s">
        <v>80</v>
      </c>
      <c r="D1453" t="s">
        <v>52</v>
      </c>
      <c r="E1453" t="s">
        <v>67</v>
      </c>
      <c r="F1453" s="5">
        <v>52</v>
      </c>
      <c r="G1453" t="str">
        <f>IF(Data[[#This Row],[Age]]&lt;25,"Under 25",IF(Data[[#This Row],[Age]]&lt;35,"25–34",IF(Data[[#This Row],[Age]]&lt;45,"35–44",IF(Data[[#This Row],[Age]]&lt;55,"45–54","55+"))))</f>
        <v>45–54</v>
      </c>
      <c r="H1453" t="s">
        <v>25</v>
      </c>
      <c r="I1453" t="s">
        <v>56</v>
      </c>
      <c r="J1453" t="s">
        <v>19</v>
      </c>
      <c r="K1453" s="1">
        <v>37769</v>
      </c>
      <c r="M1453" s="1" t="str">
        <f>IF(ISBLANK(Data[[#This Row],[EndDate]]),"Active","InActive")</f>
        <v>Active</v>
      </c>
      <c r="N1453" t="s">
        <v>57</v>
      </c>
      <c r="O1453" t="s">
        <v>77</v>
      </c>
      <c r="P1453" t="s">
        <v>40</v>
      </c>
      <c r="Q1453" s="2">
        <v>75504</v>
      </c>
    </row>
    <row r="1454" spans="1:17" x14ac:dyDescent="0.2">
      <c r="A1454" s="1">
        <v>43435</v>
      </c>
      <c r="B1454">
        <v>95788</v>
      </c>
      <c r="C1454" t="s">
        <v>79</v>
      </c>
      <c r="D1454" t="s">
        <v>52</v>
      </c>
      <c r="E1454" t="s">
        <v>53</v>
      </c>
      <c r="F1454" s="5">
        <v>52</v>
      </c>
      <c r="G1454" t="str">
        <f>IF(Data[[#This Row],[Age]]&lt;25,"Under 25",IF(Data[[#This Row],[Age]]&lt;35,"25–34",IF(Data[[#This Row],[Age]]&lt;45,"35–44",IF(Data[[#This Row],[Age]]&lt;55,"45–54","55+"))))</f>
        <v>45–54</v>
      </c>
      <c r="H1454" t="s">
        <v>17</v>
      </c>
      <c r="I1454" t="s">
        <v>56</v>
      </c>
      <c r="J1454" t="s">
        <v>19</v>
      </c>
      <c r="K1454" s="1">
        <v>40183</v>
      </c>
      <c r="M1454" s="1" t="str">
        <f>IF(ISBLANK(Data[[#This Row],[EndDate]]),"Active","InActive")</f>
        <v>Active</v>
      </c>
      <c r="N1454" t="s">
        <v>57</v>
      </c>
      <c r="O1454" t="s">
        <v>77</v>
      </c>
      <c r="P1454" t="s">
        <v>40</v>
      </c>
      <c r="Q1454" s="2">
        <v>74776</v>
      </c>
    </row>
    <row r="1455" spans="1:17" x14ac:dyDescent="0.2">
      <c r="A1455" s="1">
        <v>42705</v>
      </c>
      <c r="B1455">
        <v>30934</v>
      </c>
      <c r="C1455" t="s">
        <v>80</v>
      </c>
      <c r="D1455" t="s">
        <v>52</v>
      </c>
      <c r="E1455" t="s">
        <v>69</v>
      </c>
      <c r="F1455" s="5">
        <v>52</v>
      </c>
      <c r="G1455" t="str">
        <f>IF(Data[[#This Row],[Age]]&lt;25,"Under 25",IF(Data[[#This Row],[Age]]&lt;35,"25–34",IF(Data[[#This Row],[Age]]&lt;45,"35–44",IF(Data[[#This Row],[Age]]&lt;55,"45–54","55+"))))</f>
        <v>45–54</v>
      </c>
      <c r="H1455" t="s">
        <v>46</v>
      </c>
      <c r="I1455" t="s">
        <v>18</v>
      </c>
      <c r="J1455" t="s">
        <v>37</v>
      </c>
      <c r="K1455" s="1">
        <v>40850</v>
      </c>
      <c r="M1455" s="1" t="str">
        <f>IF(ISBLANK(Data[[#This Row],[EndDate]]),"Active","InActive")</f>
        <v>Active</v>
      </c>
      <c r="N1455" t="s">
        <v>20</v>
      </c>
      <c r="O1455" t="s">
        <v>77</v>
      </c>
      <c r="P1455" t="s">
        <v>22</v>
      </c>
      <c r="Q1455" s="2">
        <v>12168</v>
      </c>
    </row>
    <row r="1456" spans="1:17" x14ac:dyDescent="0.2">
      <c r="A1456" s="1">
        <v>42705</v>
      </c>
      <c r="B1456">
        <v>110870</v>
      </c>
      <c r="C1456" t="s">
        <v>80</v>
      </c>
      <c r="D1456" t="s">
        <v>47</v>
      </c>
      <c r="E1456" t="s">
        <v>48</v>
      </c>
      <c r="F1456" s="5">
        <v>52</v>
      </c>
      <c r="G1456" t="str">
        <f>IF(Data[[#This Row],[Age]]&lt;25,"Under 25",IF(Data[[#This Row],[Age]]&lt;35,"25–34",IF(Data[[#This Row],[Age]]&lt;45,"35–44",IF(Data[[#This Row],[Age]]&lt;55,"45–54","55+"))))</f>
        <v>45–54</v>
      </c>
      <c r="H1456" t="s">
        <v>25</v>
      </c>
      <c r="I1456" t="s">
        <v>18</v>
      </c>
      <c r="J1456" t="s">
        <v>35</v>
      </c>
      <c r="K1456" s="1">
        <v>41068</v>
      </c>
      <c r="L1456" s="1">
        <v>41128</v>
      </c>
      <c r="M1456" s="1" t="str">
        <f>IF(ISBLANK(Data[[#This Row],[EndDate]]),"Active","InActive")</f>
        <v>InActive</v>
      </c>
      <c r="N1456" t="s">
        <v>20</v>
      </c>
      <c r="O1456" t="s">
        <v>77</v>
      </c>
      <c r="P1456" t="s">
        <v>22</v>
      </c>
      <c r="Q1456" s="2">
        <v>21424</v>
      </c>
    </row>
    <row r="1457" spans="1:17" x14ac:dyDescent="0.2">
      <c r="A1457" s="1">
        <v>43070</v>
      </c>
      <c r="B1457">
        <v>33148</v>
      </c>
      <c r="C1457" t="s">
        <v>80</v>
      </c>
      <c r="D1457" t="s">
        <v>50</v>
      </c>
      <c r="E1457" t="s">
        <v>63</v>
      </c>
      <c r="F1457" s="5">
        <v>52</v>
      </c>
      <c r="G1457" t="str">
        <f>IF(Data[[#This Row],[Age]]&lt;25,"Under 25",IF(Data[[#This Row],[Age]]&lt;35,"25–34",IF(Data[[#This Row],[Age]]&lt;45,"35–44",IF(Data[[#This Row],[Age]]&lt;55,"45–54","55+"))))</f>
        <v>45–54</v>
      </c>
      <c r="H1457" t="s">
        <v>25</v>
      </c>
      <c r="I1457" t="s">
        <v>18</v>
      </c>
      <c r="J1457" t="s">
        <v>35</v>
      </c>
      <c r="K1457" s="1">
        <v>41122</v>
      </c>
      <c r="M1457" s="1" t="str">
        <f>IF(ISBLANK(Data[[#This Row],[EndDate]]),"Active","InActive")</f>
        <v>Active</v>
      </c>
      <c r="N1457" t="s">
        <v>20</v>
      </c>
      <c r="O1457" t="s">
        <v>77</v>
      </c>
      <c r="P1457" t="s">
        <v>32</v>
      </c>
      <c r="Q1457" s="2">
        <v>81016</v>
      </c>
    </row>
    <row r="1458" spans="1:17" x14ac:dyDescent="0.2">
      <c r="A1458" s="1">
        <v>43435</v>
      </c>
      <c r="B1458">
        <v>41518</v>
      </c>
      <c r="C1458" t="s">
        <v>80</v>
      </c>
      <c r="D1458" t="s">
        <v>43</v>
      </c>
      <c r="E1458" t="s">
        <v>60</v>
      </c>
      <c r="F1458" s="5">
        <v>52</v>
      </c>
      <c r="G1458" t="str">
        <f>IF(Data[[#This Row],[Age]]&lt;25,"Under 25",IF(Data[[#This Row],[Age]]&lt;35,"25–34",IF(Data[[#This Row],[Age]]&lt;45,"35–44",IF(Data[[#This Row],[Age]]&lt;55,"45–54","55+"))))</f>
        <v>45–54</v>
      </c>
      <c r="H1458" t="s">
        <v>59</v>
      </c>
      <c r="I1458" t="s">
        <v>18</v>
      </c>
      <c r="J1458" t="s">
        <v>35</v>
      </c>
      <c r="K1458" s="1">
        <v>41467</v>
      </c>
      <c r="M1458" s="1" t="str">
        <f>IF(ISBLANK(Data[[#This Row],[EndDate]]),"Active","InActive")</f>
        <v>Active</v>
      </c>
      <c r="N1458" t="s">
        <v>20</v>
      </c>
      <c r="O1458" t="s">
        <v>77</v>
      </c>
      <c r="P1458" t="s">
        <v>40</v>
      </c>
      <c r="Q1458" s="2">
        <v>14768</v>
      </c>
    </row>
    <row r="1459" spans="1:17" x14ac:dyDescent="0.2">
      <c r="A1459" s="1">
        <v>43435</v>
      </c>
      <c r="B1459">
        <v>52022</v>
      </c>
      <c r="C1459" t="s">
        <v>80</v>
      </c>
      <c r="D1459" t="s">
        <v>41</v>
      </c>
      <c r="E1459" t="s">
        <v>62</v>
      </c>
      <c r="F1459" s="5">
        <v>52</v>
      </c>
      <c r="G1459" t="str">
        <f>IF(Data[[#This Row],[Age]]&lt;25,"Under 25",IF(Data[[#This Row],[Age]]&lt;35,"25–34",IF(Data[[#This Row],[Age]]&lt;45,"35–44",IF(Data[[#This Row],[Age]]&lt;55,"45–54","55+"))))</f>
        <v>45–54</v>
      </c>
      <c r="H1459" t="s">
        <v>34</v>
      </c>
      <c r="I1459" t="s">
        <v>18</v>
      </c>
      <c r="J1459" t="s">
        <v>37</v>
      </c>
      <c r="K1459" s="1">
        <v>41885</v>
      </c>
      <c r="M1459" s="1" t="str">
        <f>IF(ISBLANK(Data[[#This Row],[EndDate]]),"Active","InActive")</f>
        <v>Active</v>
      </c>
      <c r="N1459" t="s">
        <v>20</v>
      </c>
      <c r="O1459" t="s">
        <v>77</v>
      </c>
      <c r="P1459" t="s">
        <v>40</v>
      </c>
      <c r="Q1459" s="2">
        <v>73112</v>
      </c>
    </row>
    <row r="1460" spans="1:17" x14ac:dyDescent="0.2">
      <c r="A1460" s="1">
        <v>43435</v>
      </c>
      <c r="B1460">
        <v>52640</v>
      </c>
      <c r="C1460" t="s">
        <v>80</v>
      </c>
      <c r="D1460" t="s">
        <v>47</v>
      </c>
      <c r="E1460" t="s">
        <v>48</v>
      </c>
      <c r="F1460" s="5">
        <v>52</v>
      </c>
      <c r="G1460" t="str">
        <f>IF(Data[[#This Row],[Age]]&lt;25,"Under 25",IF(Data[[#This Row],[Age]]&lt;35,"25–34",IF(Data[[#This Row],[Age]]&lt;45,"35–44",IF(Data[[#This Row],[Age]]&lt;55,"45–54","55+"))))</f>
        <v>45–54</v>
      </c>
      <c r="H1460" t="s">
        <v>34</v>
      </c>
      <c r="I1460" t="s">
        <v>18</v>
      </c>
      <c r="J1460" t="s">
        <v>26</v>
      </c>
      <c r="K1460" s="1">
        <v>41898</v>
      </c>
      <c r="M1460" s="1" t="str">
        <f>IF(ISBLANK(Data[[#This Row],[EndDate]]),"Active","InActive")</f>
        <v>Active</v>
      </c>
      <c r="N1460" t="s">
        <v>20</v>
      </c>
      <c r="O1460" t="s">
        <v>77</v>
      </c>
      <c r="P1460" t="s">
        <v>40</v>
      </c>
      <c r="Q1460" s="2">
        <v>76232</v>
      </c>
    </row>
    <row r="1461" spans="1:17" x14ac:dyDescent="0.2">
      <c r="A1461" s="1">
        <v>43435</v>
      </c>
      <c r="B1461">
        <v>97280</v>
      </c>
      <c r="C1461" t="s">
        <v>80</v>
      </c>
      <c r="D1461" t="s">
        <v>43</v>
      </c>
      <c r="E1461" t="s">
        <v>60</v>
      </c>
      <c r="F1461" s="5">
        <v>52</v>
      </c>
      <c r="G1461" t="str">
        <f>IF(Data[[#This Row],[Age]]&lt;25,"Under 25",IF(Data[[#This Row],[Age]]&lt;35,"25–34",IF(Data[[#This Row],[Age]]&lt;45,"35–44",IF(Data[[#This Row],[Age]]&lt;55,"45–54","55+"))))</f>
        <v>45–54</v>
      </c>
      <c r="H1461" t="s">
        <v>59</v>
      </c>
      <c r="I1461" t="s">
        <v>18</v>
      </c>
      <c r="J1461" t="s">
        <v>19</v>
      </c>
      <c r="K1461" s="1">
        <v>41905</v>
      </c>
      <c r="M1461" s="1" t="str">
        <f>IF(ISBLANK(Data[[#This Row],[EndDate]]),"Active","InActive")</f>
        <v>Active</v>
      </c>
      <c r="N1461" t="s">
        <v>20</v>
      </c>
      <c r="O1461" t="s">
        <v>77</v>
      </c>
      <c r="P1461" t="s">
        <v>40</v>
      </c>
      <c r="Q1461" s="2">
        <v>17368</v>
      </c>
    </row>
    <row r="1462" spans="1:17" x14ac:dyDescent="0.2">
      <c r="A1462" s="1">
        <v>42705</v>
      </c>
      <c r="B1462">
        <v>92352</v>
      </c>
      <c r="C1462" t="s">
        <v>79</v>
      </c>
      <c r="D1462" t="s">
        <v>41</v>
      </c>
      <c r="E1462" t="s">
        <v>62</v>
      </c>
      <c r="F1462" s="5">
        <v>52</v>
      </c>
      <c r="G1462" t="str">
        <f>IF(Data[[#This Row],[Age]]&lt;25,"Under 25",IF(Data[[#This Row],[Age]]&lt;35,"25–34",IF(Data[[#This Row],[Age]]&lt;45,"35–44",IF(Data[[#This Row],[Age]]&lt;55,"45–54","55+"))))</f>
        <v>45–54</v>
      </c>
      <c r="H1462" t="s">
        <v>59</v>
      </c>
      <c r="I1462" t="s">
        <v>56</v>
      </c>
      <c r="J1462" t="s">
        <v>19</v>
      </c>
      <c r="K1462" s="1">
        <v>40764</v>
      </c>
      <c r="M1462" s="1" t="str">
        <f>IF(ISBLANK(Data[[#This Row],[EndDate]]),"Active","InActive")</f>
        <v>Active</v>
      </c>
      <c r="N1462" t="s">
        <v>57</v>
      </c>
      <c r="O1462" t="s">
        <v>77</v>
      </c>
      <c r="P1462" t="s">
        <v>22</v>
      </c>
      <c r="Q1462" s="2">
        <v>17784</v>
      </c>
    </row>
    <row r="1463" spans="1:17" x14ac:dyDescent="0.2">
      <c r="A1463" s="1">
        <v>43070</v>
      </c>
      <c r="B1463">
        <v>49164</v>
      </c>
      <c r="C1463" t="s">
        <v>79</v>
      </c>
      <c r="D1463" t="s">
        <v>50</v>
      </c>
      <c r="E1463" t="s">
        <v>63</v>
      </c>
      <c r="F1463" s="5">
        <v>52</v>
      </c>
      <c r="G1463" t="str">
        <f>IF(Data[[#This Row],[Age]]&lt;25,"Under 25",IF(Data[[#This Row],[Age]]&lt;35,"25–34",IF(Data[[#This Row],[Age]]&lt;45,"35–44",IF(Data[[#This Row],[Age]]&lt;55,"45–54","55+"))))</f>
        <v>45–54</v>
      </c>
      <c r="H1463" t="s">
        <v>49</v>
      </c>
      <c r="I1463" t="s">
        <v>56</v>
      </c>
      <c r="J1463" t="s">
        <v>35</v>
      </c>
      <c r="K1463" s="1">
        <v>39555</v>
      </c>
      <c r="M1463" s="1" t="str">
        <f>IF(ISBLANK(Data[[#This Row],[EndDate]]),"Active","InActive")</f>
        <v>Active</v>
      </c>
      <c r="N1463" t="s">
        <v>57</v>
      </c>
      <c r="O1463" t="s">
        <v>77</v>
      </c>
      <c r="P1463" t="s">
        <v>32</v>
      </c>
      <c r="Q1463" s="2">
        <v>34216</v>
      </c>
    </row>
    <row r="1464" spans="1:17" x14ac:dyDescent="0.2">
      <c r="A1464" s="1">
        <v>43070</v>
      </c>
      <c r="B1464">
        <v>56330</v>
      </c>
      <c r="C1464" t="s">
        <v>80</v>
      </c>
      <c r="D1464" t="s">
        <v>47</v>
      </c>
      <c r="E1464" t="s">
        <v>64</v>
      </c>
      <c r="F1464" s="5">
        <v>52</v>
      </c>
      <c r="G1464" t="str">
        <f>IF(Data[[#This Row],[Age]]&lt;25,"Under 25",IF(Data[[#This Row],[Age]]&lt;35,"25–34",IF(Data[[#This Row],[Age]]&lt;45,"35–44",IF(Data[[#This Row],[Age]]&lt;55,"45–54","55+"))))</f>
        <v>45–54</v>
      </c>
      <c r="H1464" t="s">
        <v>34</v>
      </c>
      <c r="I1464" t="s">
        <v>56</v>
      </c>
      <c r="J1464" t="s">
        <v>26</v>
      </c>
      <c r="K1464" s="1">
        <v>40134</v>
      </c>
      <c r="M1464" s="1" t="str">
        <f>IF(ISBLANK(Data[[#This Row],[EndDate]]),"Active","InActive")</f>
        <v>Active</v>
      </c>
      <c r="N1464" t="s">
        <v>57</v>
      </c>
      <c r="O1464" t="s">
        <v>77</v>
      </c>
      <c r="P1464" t="s">
        <v>32</v>
      </c>
      <c r="Q1464" s="2">
        <v>94744</v>
      </c>
    </row>
    <row r="1465" spans="1:17" x14ac:dyDescent="0.2">
      <c r="A1465" s="1">
        <v>43070</v>
      </c>
      <c r="B1465">
        <v>92354</v>
      </c>
      <c r="C1465" t="s">
        <v>79</v>
      </c>
      <c r="D1465" t="s">
        <v>47</v>
      </c>
      <c r="E1465" t="s">
        <v>48</v>
      </c>
      <c r="F1465" s="5">
        <v>52</v>
      </c>
      <c r="G1465" t="str">
        <f>IF(Data[[#This Row],[Age]]&lt;25,"Under 25",IF(Data[[#This Row],[Age]]&lt;35,"25–34",IF(Data[[#This Row],[Age]]&lt;45,"35–44",IF(Data[[#This Row],[Age]]&lt;55,"45–54","55+"))))</f>
        <v>45–54</v>
      </c>
      <c r="H1465" t="s">
        <v>31</v>
      </c>
      <c r="I1465" t="s">
        <v>56</v>
      </c>
      <c r="J1465" t="s">
        <v>19</v>
      </c>
      <c r="K1465" s="1">
        <v>41492</v>
      </c>
      <c r="M1465" s="1" t="str">
        <f>IF(ISBLANK(Data[[#This Row],[EndDate]]),"Active","InActive")</f>
        <v>Active</v>
      </c>
      <c r="N1465" t="s">
        <v>57</v>
      </c>
      <c r="O1465" t="s">
        <v>77</v>
      </c>
      <c r="P1465" t="s">
        <v>32</v>
      </c>
      <c r="Q1465" s="2">
        <v>19240</v>
      </c>
    </row>
    <row r="1466" spans="1:17" x14ac:dyDescent="0.2">
      <c r="A1466" s="1">
        <v>43070</v>
      </c>
      <c r="B1466">
        <v>92438</v>
      </c>
      <c r="C1466" t="s">
        <v>79</v>
      </c>
      <c r="D1466" t="s">
        <v>50</v>
      </c>
      <c r="E1466" t="s">
        <v>55</v>
      </c>
      <c r="F1466" s="5">
        <v>52</v>
      </c>
      <c r="G1466" t="str">
        <f>IF(Data[[#This Row],[Age]]&lt;25,"Under 25",IF(Data[[#This Row],[Age]]&lt;35,"25–34",IF(Data[[#This Row],[Age]]&lt;45,"35–44",IF(Data[[#This Row],[Age]]&lt;55,"45–54","55+"))))</f>
        <v>45–54</v>
      </c>
      <c r="H1466" t="s">
        <v>46</v>
      </c>
      <c r="I1466" t="s">
        <v>56</v>
      </c>
      <c r="J1466" t="s">
        <v>19</v>
      </c>
      <c r="K1466" s="1">
        <v>39434</v>
      </c>
      <c r="M1466" s="1" t="str">
        <f>IF(ISBLANK(Data[[#This Row],[EndDate]]),"Active","InActive")</f>
        <v>Active</v>
      </c>
      <c r="N1466" t="s">
        <v>57</v>
      </c>
      <c r="O1466" t="s">
        <v>77</v>
      </c>
      <c r="P1466" t="s">
        <v>32</v>
      </c>
      <c r="Q1466" s="2">
        <v>86112</v>
      </c>
    </row>
    <row r="1467" spans="1:17" x14ac:dyDescent="0.2">
      <c r="A1467" s="1">
        <v>43435</v>
      </c>
      <c r="B1467">
        <v>49748</v>
      </c>
      <c r="C1467" t="s">
        <v>79</v>
      </c>
      <c r="D1467" t="s">
        <v>47</v>
      </c>
      <c r="E1467" t="s">
        <v>73</v>
      </c>
      <c r="F1467" s="5">
        <v>52</v>
      </c>
      <c r="G1467" t="str">
        <f>IF(Data[[#This Row],[Age]]&lt;25,"Under 25",IF(Data[[#This Row],[Age]]&lt;35,"25–34",IF(Data[[#This Row],[Age]]&lt;45,"35–44",IF(Data[[#This Row],[Age]]&lt;55,"45–54","55+"))))</f>
        <v>45–54</v>
      </c>
      <c r="H1467" t="s">
        <v>34</v>
      </c>
      <c r="I1467" t="s">
        <v>56</v>
      </c>
      <c r="J1467" t="s">
        <v>37</v>
      </c>
      <c r="K1467" s="1">
        <v>37216</v>
      </c>
      <c r="M1467" s="1" t="str">
        <f>IF(ISBLANK(Data[[#This Row],[EndDate]]),"Active","InActive")</f>
        <v>Active</v>
      </c>
      <c r="N1467" t="s">
        <v>57</v>
      </c>
      <c r="O1467" t="s">
        <v>77</v>
      </c>
      <c r="P1467" t="s">
        <v>40</v>
      </c>
      <c r="Q1467" s="2">
        <v>40560</v>
      </c>
    </row>
    <row r="1468" spans="1:17" x14ac:dyDescent="0.2">
      <c r="A1468" s="1">
        <v>43435</v>
      </c>
      <c r="B1468">
        <v>53266</v>
      </c>
      <c r="C1468" t="s">
        <v>80</v>
      </c>
      <c r="D1468" t="s">
        <v>27</v>
      </c>
      <c r="E1468" t="s">
        <v>72</v>
      </c>
      <c r="F1468" s="5">
        <v>52</v>
      </c>
      <c r="G1468" t="str">
        <f>IF(Data[[#This Row],[Age]]&lt;25,"Under 25",IF(Data[[#This Row],[Age]]&lt;35,"25–34",IF(Data[[#This Row],[Age]]&lt;45,"35–44",IF(Data[[#This Row],[Age]]&lt;55,"45–54","55+"))))</f>
        <v>45–54</v>
      </c>
      <c r="H1468" t="s">
        <v>25</v>
      </c>
      <c r="I1468" t="s">
        <v>56</v>
      </c>
      <c r="J1468" t="s">
        <v>35</v>
      </c>
      <c r="K1468" s="1">
        <v>33400</v>
      </c>
      <c r="M1468" s="1" t="str">
        <f>IF(ISBLANK(Data[[#This Row],[EndDate]]),"Active","InActive")</f>
        <v>Active</v>
      </c>
      <c r="N1468" t="s">
        <v>57</v>
      </c>
      <c r="O1468" t="s">
        <v>77</v>
      </c>
      <c r="P1468" t="s">
        <v>40</v>
      </c>
      <c r="Q1468" s="2">
        <v>79976</v>
      </c>
    </row>
    <row r="1469" spans="1:17" x14ac:dyDescent="0.2">
      <c r="A1469" s="1">
        <v>43435</v>
      </c>
      <c r="B1469">
        <v>55700</v>
      </c>
      <c r="C1469" t="s">
        <v>79</v>
      </c>
      <c r="D1469" t="s">
        <v>29</v>
      </c>
      <c r="E1469" t="s">
        <v>33</v>
      </c>
      <c r="F1469" s="5">
        <v>52</v>
      </c>
      <c r="G1469" t="str">
        <f>IF(Data[[#This Row],[Age]]&lt;25,"Under 25",IF(Data[[#This Row],[Age]]&lt;35,"25–34",IF(Data[[#This Row],[Age]]&lt;45,"35–44",IF(Data[[#This Row],[Age]]&lt;55,"45–54","55+"))))</f>
        <v>45–54</v>
      </c>
      <c r="H1469" t="s">
        <v>46</v>
      </c>
      <c r="I1469" t="s">
        <v>56</v>
      </c>
      <c r="J1469" t="s">
        <v>35</v>
      </c>
      <c r="K1469" s="1">
        <v>38594</v>
      </c>
      <c r="M1469" s="1" t="str">
        <f>IF(ISBLANK(Data[[#This Row],[EndDate]]),"Active","InActive")</f>
        <v>Active</v>
      </c>
      <c r="N1469" t="s">
        <v>57</v>
      </c>
      <c r="O1469" t="s">
        <v>77</v>
      </c>
      <c r="P1469" t="s">
        <v>40</v>
      </c>
      <c r="Q1469" s="2">
        <v>11544</v>
      </c>
    </row>
    <row r="1470" spans="1:17" x14ac:dyDescent="0.2">
      <c r="A1470" s="1">
        <v>43435</v>
      </c>
      <c r="B1470">
        <v>55704</v>
      </c>
      <c r="C1470" t="s">
        <v>80</v>
      </c>
      <c r="D1470" t="s">
        <v>43</v>
      </c>
      <c r="E1470" t="s">
        <v>66</v>
      </c>
      <c r="F1470" s="5">
        <v>52</v>
      </c>
      <c r="G1470" t="str">
        <f>IF(Data[[#This Row],[Age]]&lt;25,"Under 25",IF(Data[[#This Row],[Age]]&lt;35,"25–34",IF(Data[[#This Row],[Age]]&lt;45,"35–44",IF(Data[[#This Row],[Age]]&lt;55,"45–54","55+"))))</f>
        <v>45–54</v>
      </c>
      <c r="H1470" t="s">
        <v>17</v>
      </c>
      <c r="I1470" t="s">
        <v>56</v>
      </c>
      <c r="J1470" t="s">
        <v>35</v>
      </c>
      <c r="K1470" s="1">
        <v>38482</v>
      </c>
      <c r="M1470" s="1" t="str">
        <f>IF(ISBLANK(Data[[#This Row],[EndDate]]),"Active","InActive")</f>
        <v>Active</v>
      </c>
      <c r="N1470" t="s">
        <v>57</v>
      </c>
      <c r="O1470" t="s">
        <v>77</v>
      </c>
      <c r="P1470" t="s">
        <v>40</v>
      </c>
      <c r="Q1470" s="2">
        <v>69680</v>
      </c>
    </row>
    <row r="1471" spans="1:17" x14ac:dyDescent="0.2">
      <c r="A1471" s="1">
        <v>43435</v>
      </c>
      <c r="B1471">
        <v>92056</v>
      </c>
      <c r="C1471" t="s">
        <v>79</v>
      </c>
      <c r="D1471" t="s">
        <v>52</v>
      </c>
      <c r="E1471" t="s">
        <v>69</v>
      </c>
      <c r="F1471" s="5">
        <v>52</v>
      </c>
      <c r="G1471" t="str">
        <f>IF(Data[[#This Row],[Age]]&lt;25,"Under 25",IF(Data[[#This Row],[Age]]&lt;35,"25–34",IF(Data[[#This Row],[Age]]&lt;45,"35–44",IF(Data[[#This Row],[Age]]&lt;55,"45–54","55+"))))</f>
        <v>45–54</v>
      </c>
      <c r="H1471" t="s">
        <v>25</v>
      </c>
      <c r="I1471" t="s">
        <v>56</v>
      </c>
      <c r="J1471" t="s">
        <v>19</v>
      </c>
      <c r="K1471" s="1">
        <v>38797</v>
      </c>
      <c r="M1471" s="1" t="str">
        <f>IF(ISBLANK(Data[[#This Row],[EndDate]]),"Active","InActive")</f>
        <v>Active</v>
      </c>
      <c r="N1471" t="s">
        <v>57</v>
      </c>
      <c r="O1471" t="s">
        <v>77</v>
      </c>
      <c r="P1471" t="s">
        <v>40</v>
      </c>
      <c r="Q1471" s="2">
        <v>68016</v>
      </c>
    </row>
    <row r="1472" spans="1:17" x14ac:dyDescent="0.2">
      <c r="A1472" s="1">
        <v>43435</v>
      </c>
      <c r="B1472">
        <v>92454</v>
      </c>
      <c r="C1472" t="s">
        <v>79</v>
      </c>
      <c r="D1472" t="s">
        <v>27</v>
      </c>
      <c r="E1472" t="s">
        <v>74</v>
      </c>
      <c r="F1472" s="5">
        <v>52</v>
      </c>
      <c r="G1472" t="str">
        <f>IF(Data[[#This Row],[Age]]&lt;25,"Under 25",IF(Data[[#This Row],[Age]]&lt;35,"25–34",IF(Data[[#This Row],[Age]]&lt;45,"35–44",IF(Data[[#This Row],[Age]]&lt;55,"45–54","55+"))))</f>
        <v>45–54</v>
      </c>
      <c r="H1472" t="s">
        <v>59</v>
      </c>
      <c r="I1472" t="s">
        <v>56</v>
      </c>
      <c r="J1472" t="s">
        <v>19</v>
      </c>
      <c r="K1472" s="1">
        <v>41947</v>
      </c>
      <c r="M1472" s="1" t="str">
        <f>IF(ISBLANK(Data[[#This Row],[EndDate]]),"Active","InActive")</f>
        <v>Active</v>
      </c>
      <c r="N1472" t="s">
        <v>57</v>
      </c>
      <c r="O1472" t="s">
        <v>77</v>
      </c>
      <c r="P1472" t="s">
        <v>40</v>
      </c>
      <c r="Q1472" s="2">
        <v>11440</v>
      </c>
    </row>
    <row r="1473" spans="1:17" x14ac:dyDescent="0.2">
      <c r="A1473" s="1">
        <v>42705</v>
      </c>
      <c r="B1473">
        <v>99254</v>
      </c>
      <c r="C1473" t="s">
        <v>80</v>
      </c>
      <c r="D1473" t="s">
        <v>27</v>
      </c>
      <c r="E1473" t="s">
        <v>72</v>
      </c>
      <c r="F1473" s="5">
        <v>52</v>
      </c>
      <c r="G1473" t="str">
        <f>IF(Data[[#This Row],[Age]]&lt;25,"Under 25",IF(Data[[#This Row],[Age]]&lt;35,"25–34",IF(Data[[#This Row],[Age]]&lt;45,"35–44",IF(Data[[#This Row],[Age]]&lt;55,"45–54","55+"))))</f>
        <v>45–54</v>
      </c>
      <c r="H1473" t="s">
        <v>31</v>
      </c>
      <c r="I1473" t="s">
        <v>18</v>
      </c>
      <c r="J1473" t="s">
        <v>37</v>
      </c>
      <c r="K1473" s="1">
        <v>41242</v>
      </c>
      <c r="M1473" s="1" t="str">
        <f>IF(ISBLANK(Data[[#This Row],[EndDate]]),"Active","InActive")</f>
        <v>Active</v>
      </c>
      <c r="N1473" t="s">
        <v>20</v>
      </c>
      <c r="O1473" t="s">
        <v>77</v>
      </c>
      <c r="P1473" t="s">
        <v>22</v>
      </c>
      <c r="Q1473" s="2">
        <v>86736</v>
      </c>
    </row>
    <row r="1474" spans="1:17" x14ac:dyDescent="0.2">
      <c r="A1474" s="1">
        <v>43070</v>
      </c>
      <c r="B1474">
        <v>53612</v>
      </c>
      <c r="C1474" t="s">
        <v>79</v>
      </c>
      <c r="D1474" t="s">
        <v>38</v>
      </c>
      <c r="E1474" t="s">
        <v>61</v>
      </c>
      <c r="F1474" s="5">
        <v>53</v>
      </c>
      <c r="G1474" t="str">
        <f>IF(Data[[#This Row],[Age]]&lt;25,"Under 25",IF(Data[[#This Row],[Age]]&lt;35,"25–34",IF(Data[[#This Row],[Age]]&lt;45,"35–44",IF(Data[[#This Row],[Age]]&lt;55,"45–54","55+"))))</f>
        <v>45–54</v>
      </c>
      <c r="H1474" t="s">
        <v>34</v>
      </c>
      <c r="I1474" t="s">
        <v>56</v>
      </c>
      <c r="J1474" t="s">
        <v>35</v>
      </c>
      <c r="K1474" s="1">
        <v>37166</v>
      </c>
      <c r="M1474" s="1" t="str">
        <f>IF(ISBLANK(Data[[#This Row],[EndDate]]),"Active","InActive")</f>
        <v>Active</v>
      </c>
      <c r="N1474" t="s">
        <v>57</v>
      </c>
      <c r="O1474" t="s">
        <v>77</v>
      </c>
      <c r="P1474" t="s">
        <v>32</v>
      </c>
      <c r="Q1474" s="2">
        <v>83422</v>
      </c>
    </row>
    <row r="1475" spans="1:17" x14ac:dyDescent="0.2">
      <c r="A1475" s="1">
        <v>43435</v>
      </c>
      <c r="B1475">
        <v>53394</v>
      </c>
      <c r="C1475" t="s">
        <v>80</v>
      </c>
      <c r="D1475" t="s">
        <v>15</v>
      </c>
      <c r="E1475" t="s">
        <v>58</v>
      </c>
      <c r="F1475" s="5">
        <v>53</v>
      </c>
      <c r="G1475" t="str">
        <f>IF(Data[[#This Row],[Age]]&lt;25,"Under 25",IF(Data[[#This Row],[Age]]&lt;35,"25–34",IF(Data[[#This Row],[Age]]&lt;45,"35–44",IF(Data[[#This Row],[Age]]&lt;55,"45–54","55+"))))</f>
        <v>45–54</v>
      </c>
      <c r="H1475" t="s">
        <v>34</v>
      </c>
      <c r="I1475" t="s">
        <v>56</v>
      </c>
      <c r="J1475" t="s">
        <v>35</v>
      </c>
      <c r="K1475" s="1">
        <v>41804</v>
      </c>
      <c r="M1475" s="1" t="str">
        <f>IF(ISBLANK(Data[[#This Row],[EndDate]]),"Active","InActive")</f>
        <v>Active</v>
      </c>
      <c r="N1475" t="s">
        <v>57</v>
      </c>
      <c r="O1475" t="s">
        <v>77</v>
      </c>
      <c r="P1475" t="s">
        <v>40</v>
      </c>
      <c r="Q1475" s="2">
        <v>50562</v>
      </c>
    </row>
    <row r="1476" spans="1:17" x14ac:dyDescent="0.2">
      <c r="A1476" s="1">
        <v>42705</v>
      </c>
      <c r="B1476">
        <v>92250</v>
      </c>
      <c r="C1476" t="s">
        <v>80</v>
      </c>
      <c r="D1476" t="s">
        <v>41</v>
      </c>
      <c r="E1476" t="s">
        <v>42</v>
      </c>
      <c r="F1476" s="5">
        <v>53</v>
      </c>
      <c r="G1476" t="str">
        <f>IF(Data[[#This Row],[Age]]&lt;25,"Under 25",IF(Data[[#This Row],[Age]]&lt;35,"25–34",IF(Data[[#This Row],[Age]]&lt;45,"35–44",IF(Data[[#This Row],[Age]]&lt;55,"45–54","55+"))))</f>
        <v>45–54</v>
      </c>
      <c r="H1476" t="s">
        <v>59</v>
      </c>
      <c r="I1476" t="s">
        <v>56</v>
      </c>
      <c r="J1476" t="s">
        <v>19</v>
      </c>
      <c r="K1476" s="1">
        <v>29837</v>
      </c>
      <c r="M1476" s="1" t="str">
        <f>IF(ISBLANK(Data[[#This Row],[EndDate]]),"Active","InActive")</f>
        <v>Active</v>
      </c>
      <c r="N1476" t="s">
        <v>57</v>
      </c>
      <c r="O1476" t="s">
        <v>77</v>
      </c>
      <c r="P1476" t="s">
        <v>22</v>
      </c>
      <c r="Q1476" s="2">
        <v>56604</v>
      </c>
    </row>
    <row r="1477" spans="1:17" x14ac:dyDescent="0.2">
      <c r="A1477" s="1">
        <v>43070</v>
      </c>
      <c r="B1477">
        <v>95772</v>
      </c>
      <c r="C1477" t="s">
        <v>79</v>
      </c>
      <c r="D1477" t="s">
        <v>41</v>
      </c>
      <c r="E1477" t="s">
        <v>68</v>
      </c>
      <c r="F1477" s="5">
        <v>53</v>
      </c>
      <c r="G1477" t="str">
        <f>IF(Data[[#This Row],[Age]]&lt;25,"Under 25",IF(Data[[#This Row],[Age]]&lt;35,"25–34",IF(Data[[#This Row],[Age]]&lt;45,"35–44",IF(Data[[#This Row],[Age]]&lt;55,"45–54","55+"))))</f>
        <v>45–54</v>
      </c>
      <c r="H1477" t="s">
        <v>49</v>
      </c>
      <c r="I1477" t="s">
        <v>56</v>
      </c>
      <c r="J1477" t="s">
        <v>19</v>
      </c>
      <c r="K1477" s="1">
        <v>30817</v>
      </c>
      <c r="M1477" s="1" t="str">
        <f>IF(ISBLANK(Data[[#This Row],[EndDate]]),"Active","InActive")</f>
        <v>Active</v>
      </c>
      <c r="N1477" t="s">
        <v>57</v>
      </c>
      <c r="O1477" t="s">
        <v>77</v>
      </c>
      <c r="P1477" t="s">
        <v>32</v>
      </c>
      <c r="Q1477" s="2">
        <v>26924</v>
      </c>
    </row>
    <row r="1478" spans="1:17" x14ac:dyDescent="0.2">
      <c r="A1478" s="1">
        <v>43435</v>
      </c>
      <c r="B1478">
        <v>92254</v>
      </c>
      <c r="C1478" t="s">
        <v>80</v>
      </c>
      <c r="D1478" t="s">
        <v>47</v>
      </c>
      <c r="E1478" t="s">
        <v>48</v>
      </c>
      <c r="F1478" s="5">
        <v>53</v>
      </c>
      <c r="G1478" t="str">
        <f>IF(Data[[#This Row],[Age]]&lt;25,"Under 25",IF(Data[[#This Row],[Age]]&lt;35,"25–34",IF(Data[[#This Row],[Age]]&lt;45,"35–44",IF(Data[[#This Row],[Age]]&lt;55,"45–54","55+"))))</f>
        <v>45–54</v>
      </c>
      <c r="H1478" t="s">
        <v>25</v>
      </c>
      <c r="I1478" t="s">
        <v>56</v>
      </c>
      <c r="J1478" t="s">
        <v>19</v>
      </c>
      <c r="K1478" s="1">
        <v>40862</v>
      </c>
      <c r="M1478" s="1" t="str">
        <f>IF(ISBLANK(Data[[#This Row],[EndDate]]),"Active","InActive")</f>
        <v>Active</v>
      </c>
      <c r="N1478" t="s">
        <v>57</v>
      </c>
      <c r="O1478" t="s">
        <v>77</v>
      </c>
      <c r="P1478" t="s">
        <v>40</v>
      </c>
      <c r="Q1478" s="2">
        <v>83210</v>
      </c>
    </row>
    <row r="1479" spans="1:17" x14ac:dyDescent="0.2">
      <c r="A1479" s="1">
        <v>42705</v>
      </c>
      <c r="B1479">
        <v>50282</v>
      </c>
      <c r="C1479" t="s">
        <v>79</v>
      </c>
      <c r="D1479" t="s">
        <v>43</v>
      </c>
      <c r="E1479" t="s">
        <v>44</v>
      </c>
      <c r="F1479" s="5">
        <v>53</v>
      </c>
      <c r="G1479" t="str">
        <f>IF(Data[[#This Row],[Age]]&lt;25,"Under 25",IF(Data[[#This Row],[Age]]&lt;35,"25–34",IF(Data[[#This Row],[Age]]&lt;45,"35–44",IF(Data[[#This Row],[Age]]&lt;55,"45–54","55+"))))</f>
        <v>45–54</v>
      </c>
      <c r="H1479" t="s">
        <v>31</v>
      </c>
      <c r="I1479" t="s">
        <v>18</v>
      </c>
      <c r="J1479" t="s">
        <v>35</v>
      </c>
      <c r="K1479" s="1">
        <v>37544</v>
      </c>
      <c r="M1479" s="1" t="str">
        <f>IF(ISBLANK(Data[[#This Row],[EndDate]]),"Active","InActive")</f>
        <v>Active</v>
      </c>
      <c r="N1479" t="s">
        <v>20</v>
      </c>
      <c r="O1479" t="s">
        <v>77</v>
      </c>
      <c r="P1479" t="s">
        <v>22</v>
      </c>
      <c r="Q1479" s="2">
        <v>104622</v>
      </c>
    </row>
    <row r="1480" spans="1:17" x14ac:dyDescent="0.2">
      <c r="A1480" s="1">
        <v>42705</v>
      </c>
      <c r="B1480">
        <v>43612</v>
      </c>
      <c r="C1480" t="s">
        <v>80</v>
      </c>
      <c r="D1480" t="s">
        <v>43</v>
      </c>
      <c r="E1480" t="s">
        <v>60</v>
      </c>
      <c r="F1480" s="5">
        <v>53</v>
      </c>
      <c r="G1480" t="str">
        <f>IF(Data[[#This Row],[Age]]&lt;25,"Under 25",IF(Data[[#This Row],[Age]]&lt;35,"25–34",IF(Data[[#This Row],[Age]]&lt;45,"35–44",IF(Data[[#This Row],[Age]]&lt;55,"45–54","55+"))))</f>
        <v>45–54</v>
      </c>
      <c r="H1480" t="s">
        <v>17</v>
      </c>
      <c r="I1480" t="s">
        <v>18</v>
      </c>
      <c r="J1480" t="s">
        <v>37</v>
      </c>
      <c r="K1480" s="1">
        <v>39140</v>
      </c>
      <c r="M1480" s="1" t="str">
        <f>IF(ISBLANK(Data[[#This Row],[EndDate]]),"Active","InActive")</f>
        <v>Active</v>
      </c>
      <c r="N1480" t="s">
        <v>20</v>
      </c>
      <c r="O1480" t="s">
        <v>77</v>
      </c>
      <c r="P1480" t="s">
        <v>22</v>
      </c>
      <c r="Q1480" s="2">
        <v>94870</v>
      </c>
    </row>
    <row r="1481" spans="1:17" x14ac:dyDescent="0.2">
      <c r="A1481" s="1">
        <v>42705</v>
      </c>
      <c r="B1481">
        <v>55512</v>
      </c>
      <c r="C1481" t="s">
        <v>80</v>
      </c>
      <c r="D1481" t="s">
        <v>15</v>
      </c>
      <c r="E1481" t="s">
        <v>16</v>
      </c>
      <c r="F1481" s="5">
        <v>53</v>
      </c>
      <c r="G1481" t="str">
        <f>IF(Data[[#This Row],[Age]]&lt;25,"Under 25",IF(Data[[#This Row],[Age]]&lt;35,"25–34",IF(Data[[#This Row],[Age]]&lt;45,"35–44",IF(Data[[#This Row],[Age]]&lt;55,"45–54","55+"))))</f>
        <v>45–54</v>
      </c>
      <c r="H1481" t="s">
        <v>17</v>
      </c>
      <c r="I1481" t="s">
        <v>18</v>
      </c>
      <c r="J1481" t="s">
        <v>26</v>
      </c>
      <c r="K1481" s="1">
        <v>41159</v>
      </c>
      <c r="M1481" s="1" t="str">
        <f>IF(ISBLANK(Data[[#This Row],[EndDate]]),"Active","InActive")</f>
        <v>Active</v>
      </c>
      <c r="N1481" t="s">
        <v>20</v>
      </c>
      <c r="O1481" t="s">
        <v>77</v>
      </c>
      <c r="P1481" t="s">
        <v>22</v>
      </c>
      <c r="Q1481" s="2">
        <v>53424</v>
      </c>
    </row>
    <row r="1482" spans="1:17" x14ac:dyDescent="0.2">
      <c r="A1482" s="1">
        <v>43070</v>
      </c>
      <c r="B1482">
        <v>9502</v>
      </c>
      <c r="C1482" t="s">
        <v>80</v>
      </c>
      <c r="D1482" t="s">
        <v>47</v>
      </c>
      <c r="E1482" t="s">
        <v>48</v>
      </c>
      <c r="F1482" s="5">
        <v>53</v>
      </c>
      <c r="G1482" t="str">
        <f>IF(Data[[#This Row],[Age]]&lt;25,"Under 25",IF(Data[[#This Row],[Age]]&lt;35,"25–34",IF(Data[[#This Row],[Age]]&lt;45,"35–44",IF(Data[[#This Row],[Age]]&lt;55,"45–54","55+"))))</f>
        <v>45–54</v>
      </c>
      <c r="H1482" t="s">
        <v>25</v>
      </c>
      <c r="I1482" t="s">
        <v>18</v>
      </c>
      <c r="J1482" t="s">
        <v>37</v>
      </c>
      <c r="K1482" s="1">
        <v>41506</v>
      </c>
      <c r="M1482" s="1" t="str">
        <f>IF(ISBLANK(Data[[#This Row],[EndDate]]),"Active","InActive")</f>
        <v>Active</v>
      </c>
      <c r="N1482" t="s">
        <v>20</v>
      </c>
      <c r="O1482" t="s">
        <v>77</v>
      </c>
      <c r="P1482" t="s">
        <v>32</v>
      </c>
      <c r="Q1482" s="2">
        <v>26818</v>
      </c>
    </row>
    <row r="1483" spans="1:17" x14ac:dyDescent="0.2">
      <c r="A1483" s="1">
        <v>43070</v>
      </c>
      <c r="B1483">
        <v>30934</v>
      </c>
      <c r="C1483" t="s">
        <v>80</v>
      </c>
      <c r="D1483" t="s">
        <v>52</v>
      </c>
      <c r="E1483" t="s">
        <v>69</v>
      </c>
      <c r="F1483" s="5">
        <v>53</v>
      </c>
      <c r="G1483" t="str">
        <f>IF(Data[[#This Row],[Age]]&lt;25,"Under 25",IF(Data[[#This Row],[Age]]&lt;35,"25–34",IF(Data[[#This Row],[Age]]&lt;45,"35–44",IF(Data[[#This Row],[Age]]&lt;55,"45–54","55+"))))</f>
        <v>45–54</v>
      </c>
      <c r="H1483" t="s">
        <v>46</v>
      </c>
      <c r="I1483" t="s">
        <v>18</v>
      </c>
      <c r="J1483" t="s">
        <v>37</v>
      </c>
      <c r="K1483" s="1">
        <v>40850</v>
      </c>
      <c r="M1483" s="1" t="str">
        <f>IF(ISBLANK(Data[[#This Row],[EndDate]]),"Active","InActive")</f>
        <v>Active</v>
      </c>
      <c r="N1483" t="s">
        <v>20</v>
      </c>
      <c r="O1483" t="s">
        <v>77</v>
      </c>
      <c r="P1483" t="s">
        <v>32</v>
      </c>
      <c r="Q1483" s="2">
        <v>48866</v>
      </c>
    </row>
    <row r="1484" spans="1:17" x14ac:dyDescent="0.2">
      <c r="A1484" s="1">
        <v>43070</v>
      </c>
      <c r="B1484">
        <v>52424</v>
      </c>
      <c r="C1484" t="s">
        <v>80</v>
      </c>
      <c r="D1484" t="s">
        <v>23</v>
      </c>
      <c r="E1484" t="s">
        <v>65</v>
      </c>
      <c r="F1484" s="5">
        <v>53</v>
      </c>
      <c r="G1484" t="str">
        <f>IF(Data[[#This Row],[Age]]&lt;25,"Under 25",IF(Data[[#This Row],[Age]]&lt;35,"25–34",IF(Data[[#This Row],[Age]]&lt;45,"35–44",IF(Data[[#This Row],[Age]]&lt;55,"45–54","55+"))))</f>
        <v>45–54</v>
      </c>
      <c r="H1484" t="s">
        <v>59</v>
      </c>
      <c r="I1484" t="s">
        <v>18</v>
      </c>
      <c r="J1484" t="s">
        <v>35</v>
      </c>
      <c r="K1484" s="1">
        <v>41417</v>
      </c>
      <c r="M1484" s="1" t="str">
        <f>IF(ISBLANK(Data[[#This Row],[EndDate]]),"Active","InActive")</f>
        <v>Active</v>
      </c>
      <c r="N1484" t="s">
        <v>20</v>
      </c>
      <c r="O1484" t="s">
        <v>77</v>
      </c>
      <c r="P1484" t="s">
        <v>32</v>
      </c>
      <c r="Q1484" s="2">
        <v>20352</v>
      </c>
    </row>
    <row r="1485" spans="1:17" x14ac:dyDescent="0.2">
      <c r="A1485" s="1">
        <v>43435</v>
      </c>
      <c r="B1485">
        <v>42772</v>
      </c>
      <c r="C1485" t="s">
        <v>80</v>
      </c>
      <c r="D1485" t="s">
        <v>47</v>
      </c>
      <c r="E1485" t="s">
        <v>64</v>
      </c>
      <c r="F1485" s="5">
        <v>53</v>
      </c>
      <c r="G1485" t="str">
        <f>IF(Data[[#This Row],[Age]]&lt;25,"Under 25",IF(Data[[#This Row],[Age]]&lt;35,"25–34",IF(Data[[#This Row],[Age]]&lt;45,"35–44",IF(Data[[#This Row],[Age]]&lt;55,"45–54","55+"))))</f>
        <v>45–54</v>
      </c>
      <c r="H1485" t="s">
        <v>17</v>
      </c>
      <c r="I1485" t="s">
        <v>18</v>
      </c>
      <c r="J1485" t="s">
        <v>35</v>
      </c>
      <c r="K1485" s="1">
        <v>41787</v>
      </c>
      <c r="M1485" s="1" t="str">
        <f>IF(ISBLANK(Data[[#This Row],[EndDate]]),"Active","InActive")</f>
        <v>Active</v>
      </c>
      <c r="N1485" t="s">
        <v>20</v>
      </c>
      <c r="O1485" t="s">
        <v>77</v>
      </c>
      <c r="P1485" t="s">
        <v>40</v>
      </c>
      <c r="Q1485" s="2">
        <v>27772</v>
      </c>
    </row>
    <row r="1486" spans="1:17" x14ac:dyDescent="0.2">
      <c r="A1486" s="1">
        <v>43435</v>
      </c>
      <c r="B1486">
        <v>50858</v>
      </c>
      <c r="C1486" t="s">
        <v>80</v>
      </c>
      <c r="D1486" t="s">
        <v>23</v>
      </c>
      <c r="E1486" t="s">
        <v>71</v>
      </c>
      <c r="F1486" s="5">
        <v>53</v>
      </c>
      <c r="G1486" t="str">
        <f>IF(Data[[#This Row],[Age]]&lt;25,"Under 25",IF(Data[[#This Row],[Age]]&lt;35,"25–34",IF(Data[[#This Row],[Age]]&lt;45,"35–44",IF(Data[[#This Row],[Age]]&lt;55,"45–54","55+"))))</f>
        <v>45–54</v>
      </c>
      <c r="H1486" t="s">
        <v>25</v>
      </c>
      <c r="I1486" t="s">
        <v>18</v>
      </c>
      <c r="J1486" t="s">
        <v>35</v>
      </c>
      <c r="K1486" s="1">
        <v>41839</v>
      </c>
      <c r="M1486" s="1" t="str">
        <f>IF(ISBLANK(Data[[#This Row],[EndDate]]),"Active","InActive")</f>
        <v>Active</v>
      </c>
      <c r="N1486" t="s">
        <v>20</v>
      </c>
      <c r="O1486" t="s">
        <v>77</v>
      </c>
      <c r="P1486" t="s">
        <v>40</v>
      </c>
      <c r="Q1486" s="2">
        <v>30528</v>
      </c>
    </row>
    <row r="1487" spans="1:17" x14ac:dyDescent="0.2">
      <c r="A1487" s="1">
        <v>43435</v>
      </c>
      <c r="B1487">
        <v>53868</v>
      </c>
      <c r="C1487" t="s">
        <v>80</v>
      </c>
      <c r="D1487" t="s">
        <v>47</v>
      </c>
      <c r="E1487" t="s">
        <v>48</v>
      </c>
      <c r="F1487" s="5">
        <v>53</v>
      </c>
      <c r="G1487" t="str">
        <f>IF(Data[[#This Row],[Age]]&lt;25,"Under 25",IF(Data[[#This Row],[Age]]&lt;35,"25–34",IF(Data[[#This Row],[Age]]&lt;45,"35–44",IF(Data[[#This Row],[Age]]&lt;55,"45–54","55+"))))</f>
        <v>45–54</v>
      </c>
      <c r="H1487" t="s">
        <v>17</v>
      </c>
      <c r="I1487" t="s">
        <v>18</v>
      </c>
      <c r="J1487" t="s">
        <v>26</v>
      </c>
      <c r="K1487" s="1">
        <v>41609</v>
      </c>
      <c r="M1487" s="1" t="str">
        <f>IF(ISBLANK(Data[[#This Row],[EndDate]]),"Active","InActive")</f>
        <v>Active</v>
      </c>
      <c r="N1487" t="s">
        <v>20</v>
      </c>
      <c r="O1487" t="s">
        <v>77</v>
      </c>
      <c r="P1487" t="s">
        <v>40</v>
      </c>
      <c r="Q1487" s="2">
        <v>96354</v>
      </c>
    </row>
    <row r="1488" spans="1:17" x14ac:dyDescent="0.2">
      <c r="A1488" s="1">
        <v>43435</v>
      </c>
      <c r="B1488">
        <v>56324</v>
      </c>
      <c r="C1488" t="s">
        <v>80</v>
      </c>
      <c r="D1488" t="s">
        <v>38</v>
      </c>
      <c r="E1488" t="s">
        <v>39</v>
      </c>
      <c r="F1488" s="5">
        <v>53</v>
      </c>
      <c r="G1488" t="str">
        <f>IF(Data[[#This Row],[Age]]&lt;25,"Under 25",IF(Data[[#This Row],[Age]]&lt;35,"25–34",IF(Data[[#This Row],[Age]]&lt;45,"35–44",IF(Data[[#This Row],[Age]]&lt;55,"45–54","55+"))))</f>
        <v>45–54</v>
      </c>
      <c r="H1488" t="s">
        <v>59</v>
      </c>
      <c r="I1488" t="s">
        <v>18</v>
      </c>
      <c r="J1488" t="s">
        <v>35</v>
      </c>
      <c r="K1488" s="1">
        <v>41791</v>
      </c>
      <c r="M1488" s="1" t="str">
        <f>IF(ISBLANK(Data[[#This Row],[EndDate]]),"Active","InActive")</f>
        <v>Active</v>
      </c>
      <c r="N1488" t="s">
        <v>20</v>
      </c>
      <c r="O1488" t="s">
        <v>77</v>
      </c>
      <c r="P1488" t="s">
        <v>40</v>
      </c>
      <c r="Q1488" s="2">
        <v>83740</v>
      </c>
    </row>
    <row r="1489" spans="1:17" x14ac:dyDescent="0.2">
      <c r="A1489" s="1">
        <v>42705</v>
      </c>
      <c r="B1489">
        <v>49036</v>
      </c>
      <c r="C1489" t="s">
        <v>80</v>
      </c>
      <c r="D1489" t="s">
        <v>50</v>
      </c>
      <c r="E1489" t="s">
        <v>63</v>
      </c>
      <c r="F1489" s="5">
        <v>53</v>
      </c>
      <c r="G1489" t="str">
        <f>IF(Data[[#This Row],[Age]]&lt;25,"Under 25",IF(Data[[#This Row],[Age]]&lt;35,"25–34",IF(Data[[#This Row],[Age]]&lt;45,"35–44",IF(Data[[#This Row],[Age]]&lt;55,"45–54","55+"))))</f>
        <v>45–54</v>
      </c>
      <c r="H1489" t="s">
        <v>17</v>
      </c>
      <c r="I1489" t="s">
        <v>56</v>
      </c>
      <c r="J1489" t="s">
        <v>35</v>
      </c>
      <c r="K1489" s="1">
        <v>38638</v>
      </c>
      <c r="M1489" s="1" t="str">
        <f>IF(ISBLANK(Data[[#This Row],[EndDate]]),"Active","InActive")</f>
        <v>Active</v>
      </c>
      <c r="N1489" t="s">
        <v>57</v>
      </c>
      <c r="O1489" t="s">
        <v>77</v>
      </c>
      <c r="P1489" t="s">
        <v>22</v>
      </c>
      <c r="Q1489" s="2">
        <v>13462</v>
      </c>
    </row>
    <row r="1490" spans="1:17" x14ac:dyDescent="0.2">
      <c r="A1490" s="1">
        <v>42705</v>
      </c>
      <c r="B1490">
        <v>54100</v>
      </c>
      <c r="C1490" t="s">
        <v>80</v>
      </c>
      <c r="D1490" t="s">
        <v>41</v>
      </c>
      <c r="E1490" t="s">
        <v>68</v>
      </c>
      <c r="F1490" s="5">
        <v>53</v>
      </c>
      <c r="G1490" t="str">
        <f>IF(Data[[#This Row],[Age]]&lt;25,"Under 25",IF(Data[[#This Row],[Age]]&lt;35,"25–34",IF(Data[[#This Row],[Age]]&lt;45,"35–44",IF(Data[[#This Row],[Age]]&lt;55,"45–54","55+"))))</f>
        <v>45–54</v>
      </c>
      <c r="H1490" t="s">
        <v>46</v>
      </c>
      <c r="I1490" t="s">
        <v>56</v>
      </c>
      <c r="J1490" t="s">
        <v>26</v>
      </c>
      <c r="K1490" s="1">
        <v>39431</v>
      </c>
      <c r="M1490" s="1" t="str">
        <f>IF(ISBLANK(Data[[#This Row],[EndDate]]),"Active","InActive")</f>
        <v>Active</v>
      </c>
      <c r="N1490" t="s">
        <v>57</v>
      </c>
      <c r="O1490" t="s">
        <v>77</v>
      </c>
      <c r="P1490" t="s">
        <v>22</v>
      </c>
      <c r="Q1490" s="2">
        <v>62646</v>
      </c>
    </row>
    <row r="1491" spans="1:17" x14ac:dyDescent="0.2">
      <c r="A1491" s="1">
        <v>43070</v>
      </c>
      <c r="B1491">
        <v>92352</v>
      </c>
      <c r="C1491" t="s">
        <v>79</v>
      </c>
      <c r="D1491" t="s">
        <v>41</v>
      </c>
      <c r="E1491" t="s">
        <v>62</v>
      </c>
      <c r="F1491" s="5">
        <v>53</v>
      </c>
      <c r="G1491" t="str">
        <f>IF(Data[[#This Row],[Age]]&lt;25,"Under 25",IF(Data[[#This Row],[Age]]&lt;35,"25–34",IF(Data[[#This Row],[Age]]&lt;45,"35–44",IF(Data[[#This Row],[Age]]&lt;55,"45–54","55+"))))</f>
        <v>45–54</v>
      </c>
      <c r="H1491" t="s">
        <v>59</v>
      </c>
      <c r="I1491" t="s">
        <v>56</v>
      </c>
      <c r="J1491" t="s">
        <v>19</v>
      </c>
      <c r="K1491" s="1">
        <v>40764</v>
      </c>
      <c r="M1491" s="1" t="str">
        <f>IF(ISBLANK(Data[[#This Row],[EndDate]]),"Active","InActive")</f>
        <v>Active</v>
      </c>
      <c r="N1491" t="s">
        <v>57</v>
      </c>
      <c r="O1491" t="s">
        <v>77</v>
      </c>
      <c r="P1491" t="s">
        <v>32</v>
      </c>
      <c r="Q1491" s="2">
        <v>64024</v>
      </c>
    </row>
    <row r="1492" spans="1:17" x14ac:dyDescent="0.2">
      <c r="A1492" s="1">
        <v>43435</v>
      </c>
      <c r="B1492">
        <v>49164</v>
      </c>
      <c r="C1492" t="s">
        <v>79</v>
      </c>
      <c r="D1492" t="s">
        <v>50</v>
      </c>
      <c r="E1492" t="s">
        <v>63</v>
      </c>
      <c r="F1492" s="5">
        <v>53</v>
      </c>
      <c r="G1492" t="str">
        <f>IF(Data[[#This Row],[Age]]&lt;25,"Under 25",IF(Data[[#This Row],[Age]]&lt;35,"25–34",IF(Data[[#This Row],[Age]]&lt;45,"35–44",IF(Data[[#This Row],[Age]]&lt;55,"45–54","55+"))))</f>
        <v>45–54</v>
      </c>
      <c r="H1492" t="s">
        <v>49</v>
      </c>
      <c r="I1492" t="s">
        <v>56</v>
      </c>
      <c r="J1492" t="s">
        <v>35</v>
      </c>
      <c r="K1492" s="1">
        <v>39555</v>
      </c>
      <c r="M1492" s="1" t="str">
        <f>IF(ISBLANK(Data[[#This Row],[EndDate]]),"Active","InActive")</f>
        <v>Active</v>
      </c>
      <c r="N1492" t="s">
        <v>57</v>
      </c>
      <c r="O1492" t="s">
        <v>77</v>
      </c>
      <c r="P1492" t="s">
        <v>40</v>
      </c>
      <c r="Q1492" s="2">
        <v>56286</v>
      </c>
    </row>
    <row r="1493" spans="1:17" x14ac:dyDescent="0.2">
      <c r="A1493" s="1">
        <v>43435</v>
      </c>
      <c r="B1493">
        <v>56330</v>
      </c>
      <c r="C1493" t="s">
        <v>80</v>
      </c>
      <c r="D1493" t="s">
        <v>47</v>
      </c>
      <c r="E1493" t="s">
        <v>64</v>
      </c>
      <c r="F1493" s="5">
        <v>53</v>
      </c>
      <c r="G1493" t="str">
        <f>IF(Data[[#This Row],[Age]]&lt;25,"Under 25",IF(Data[[#This Row],[Age]]&lt;35,"25–34",IF(Data[[#This Row],[Age]]&lt;45,"35–44",IF(Data[[#This Row],[Age]]&lt;55,"45–54","55+"))))</f>
        <v>45–54</v>
      </c>
      <c r="H1493" t="s">
        <v>34</v>
      </c>
      <c r="I1493" t="s">
        <v>56</v>
      </c>
      <c r="J1493" t="s">
        <v>26</v>
      </c>
      <c r="K1493" s="1">
        <v>40134</v>
      </c>
      <c r="M1493" s="1" t="str">
        <f>IF(ISBLANK(Data[[#This Row],[EndDate]]),"Active","InActive")</f>
        <v>Active</v>
      </c>
      <c r="N1493" t="s">
        <v>57</v>
      </c>
      <c r="O1493" t="s">
        <v>77</v>
      </c>
      <c r="P1493" t="s">
        <v>40</v>
      </c>
      <c r="Q1493" s="2">
        <v>77804</v>
      </c>
    </row>
    <row r="1494" spans="1:17" x14ac:dyDescent="0.2">
      <c r="A1494" s="1">
        <v>43435</v>
      </c>
      <c r="B1494">
        <v>92354</v>
      </c>
      <c r="C1494" t="s">
        <v>79</v>
      </c>
      <c r="D1494" t="s">
        <v>47</v>
      </c>
      <c r="E1494" t="s">
        <v>48</v>
      </c>
      <c r="F1494" s="5">
        <v>53</v>
      </c>
      <c r="G1494" t="str">
        <f>IF(Data[[#This Row],[Age]]&lt;25,"Under 25",IF(Data[[#This Row],[Age]]&lt;35,"25–34",IF(Data[[#This Row],[Age]]&lt;45,"35–44",IF(Data[[#This Row],[Age]]&lt;55,"45–54","55+"))))</f>
        <v>45–54</v>
      </c>
      <c r="H1494" t="s">
        <v>31</v>
      </c>
      <c r="I1494" t="s">
        <v>56</v>
      </c>
      <c r="J1494" t="s">
        <v>19</v>
      </c>
      <c r="K1494" s="1">
        <v>41492</v>
      </c>
      <c r="M1494" s="1" t="str">
        <f>IF(ISBLANK(Data[[#This Row],[EndDate]]),"Active","InActive")</f>
        <v>Active</v>
      </c>
      <c r="N1494" t="s">
        <v>57</v>
      </c>
      <c r="O1494" t="s">
        <v>77</v>
      </c>
      <c r="P1494" t="s">
        <v>40</v>
      </c>
      <c r="Q1494" s="2">
        <v>73352</v>
      </c>
    </row>
    <row r="1495" spans="1:17" x14ac:dyDescent="0.2">
      <c r="A1495" s="1">
        <v>43435</v>
      </c>
      <c r="B1495">
        <v>92438</v>
      </c>
      <c r="C1495" t="s">
        <v>79</v>
      </c>
      <c r="D1495" t="s">
        <v>50</v>
      </c>
      <c r="E1495" t="s">
        <v>55</v>
      </c>
      <c r="F1495" s="5">
        <v>53</v>
      </c>
      <c r="G1495" t="str">
        <f>IF(Data[[#This Row],[Age]]&lt;25,"Under 25",IF(Data[[#This Row],[Age]]&lt;35,"25–34",IF(Data[[#This Row],[Age]]&lt;45,"35–44",IF(Data[[#This Row],[Age]]&lt;55,"45–54","55+"))))</f>
        <v>45–54</v>
      </c>
      <c r="H1495" t="s">
        <v>46</v>
      </c>
      <c r="I1495" t="s">
        <v>56</v>
      </c>
      <c r="J1495" t="s">
        <v>19</v>
      </c>
      <c r="K1495" s="1">
        <v>39434</v>
      </c>
      <c r="M1495" s="1" t="str">
        <f>IF(ISBLANK(Data[[#This Row],[EndDate]]),"Active","InActive")</f>
        <v>Active</v>
      </c>
      <c r="N1495" t="s">
        <v>57</v>
      </c>
      <c r="O1495" t="s">
        <v>77</v>
      </c>
      <c r="P1495" t="s">
        <v>40</v>
      </c>
      <c r="Q1495" s="2">
        <v>29468</v>
      </c>
    </row>
    <row r="1496" spans="1:17" x14ac:dyDescent="0.2">
      <c r="A1496" s="1">
        <v>43435</v>
      </c>
      <c r="B1496">
        <v>53612</v>
      </c>
      <c r="C1496" t="s">
        <v>79</v>
      </c>
      <c r="D1496" t="s">
        <v>38</v>
      </c>
      <c r="E1496" t="s">
        <v>61</v>
      </c>
      <c r="F1496" s="5">
        <v>54</v>
      </c>
      <c r="G1496" t="str">
        <f>IF(Data[[#This Row],[Age]]&lt;25,"Under 25",IF(Data[[#This Row],[Age]]&lt;35,"25–34",IF(Data[[#This Row],[Age]]&lt;45,"35–44",IF(Data[[#This Row],[Age]]&lt;55,"45–54","55+"))))</f>
        <v>45–54</v>
      </c>
      <c r="H1496" t="s">
        <v>34</v>
      </c>
      <c r="I1496" t="s">
        <v>56</v>
      </c>
      <c r="J1496" t="s">
        <v>35</v>
      </c>
      <c r="K1496" s="1">
        <v>37166</v>
      </c>
      <c r="M1496" s="1" t="str">
        <f>IF(ISBLANK(Data[[#This Row],[EndDate]]),"Active","InActive")</f>
        <v>Active</v>
      </c>
      <c r="N1496" t="s">
        <v>57</v>
      </c>
      <c r="O1496" t="s">
        <v>77</v>
      </c>
      <c r="P1496" t="s">
        <v>40</v>
      </c>
      <c r="Q1496" s="2">
        <v>78408</v>
      </c>
    </row>
    <row r="1497" spans="1:17" x14ac:dyDescent="0.2">
      <c r="A1497" s="1">
        <v>42705</v>
      </c>
      <c r="B1497">
        <v>95696</v>
      </c>
      <c r="C1497" t="s">
        <v>79</v>
      </c>
      <c r="D1497" t="s">
        <v>52</v>
      </c>
      <c r="E1497" t="s">
        <v>67</v>
      </c>
      <c r="F1497" s="5">
        <v>54</v>
      </c>
      <c r="G1497" t="str">
        <f>IF(Data[[#This Row],[Age]]&lt;25,"Under 25",IF(Data[[#This Row],[Age]]&lt;35,"25–34",IF(Data[[#This Row],[Age]]&lt;45,"35–44",IF(Data[[#This Row],[Age]]&lt;55,"45–54","55+"))))</f>
        <v>45–54</v>
      </c>
      <c r="H1497" t="s">
        <v>34</v>
      </c>
      <c r="I1497" t="s">
        <v>56</v>
      </c>
      <c r="J1497" t="s">
        <v>19</v>
      </c>
      <c r="K1497" s="1">
        <v>32084</v>
      </c>
      <c r="M1497" s="1" t="str">
        <f>IF(ISBLANK(Data[[#This Row],[EndDate]]),"Active","InActive")</f>
        <v>Active</v>
      </c>
      <c r="N1497" t="s">
        <v>57</v>
      </c>
      <c r="O1497" t="s">
        <v>77</v>
      </c>
      <c r="P1497" t="s">
        <v>22</v>
      </c>
      <c r="Q1497" s="2">
        <v>103788</v>
      </c>
    </row>
    <row r="1498" spans="1:17" x14ac:dyDescent="0.2">
      <c r="A1498" s="1">
        <v>43070</v>
      </c>
      <c r="B1498">
        <v>92250</v>
      </c>
      <c r="C1498" t="s">
        <v>80</v>
      </c>
      <c r="D1498" t="s">
        <v>41</v>
      </c>
      <c r="E1498" t="s">
        <v>42</v>
      </c>
      <c r="F1498" s="5">
        <v>54</v>
      </c>
      <c r="G1498" t="str">
        <f>IF(Data[[#This Row],[Age]]&lt;25,"Under 25",IF(Data[[#This Row],[Age]]&lt;35,"25–34",IF(Data[[#This Row],[Age]]&lt;45,"35–44",IF(Data[[#This Row],[Age]]&lt;55,"45–54","55+"))))</f>
        <v>45–54</v>
      </c>
      <c r="H1498" t="s">
        <v>59</v>
      </c>
      <c r="I1498" t="s">
        <v>56</v>
      </c>
      <c r="J1498" t="s">
        <v>19</v>
      </c>
      <c r="K1498" s="1">
        <v>29837</v>
      </c>
      <c r="M1498" s="1" t="str">
        <f>IF(ISBLANK(Data[[#This Row],[EndDate]]),"Active","InActive")</f>
        <v>Active</v>
      </c>
      <c r="N1498" t="s">
        <v>57</v>
      </c>
      <c r="O1498" t="s">
        <v>77</v>
      </c>
      <c r="P1498" t="s">
        <v>32</v>
      </c>
      <c r="Q1498" s="2">
        <v>52488</v>
      </c>
    </row>
    <row r="1499" spans="1:17" x14ac:dyDescent="0.2">
      <c r="A1499" s="1">
        <v>43435</v>
      </c>
      <c r="B1499">
        <v>92288</v>
      </c>
      <c r="C1499" t="s">
        <v>79</v>
      </c>
      <c r="D1499" t="s">
        <v>27</v>
      </c>
      <c r="E1499" t="s">
        <v>28</v>
      </c>
      <c r="F1499" s="5">
        <v>54</v>
      </c>
      <c r="G1499" t="str">
        <f>IF(Data[[#This Row],[Age]]&lt;25,"Under 25",IF(Data[[#This Row],[Age]]&lt;35,"25–34",IF(Data[[#This Row],[Age]]&lt;45,"35–44",IF(Data[[#This Row],[Age]]&lt;55,"45–54","55+"))))</f>
        <v>45–54</v>
      </c>
      <c r="H1499" t="s">
        <v>59</v>
      </c>
      <c r="I1499" t="s">
        <v>56</v>
      </c>
      <c r="J1499" t="s">
        <v>19</v>
      </c>
      <c r="K1499" s="1">
        <v>41940</v>
      </c>
      <c r="M1499" s="1" t="str">
        <f>IF(ISBLANK(Data[[#This Row],[EndDate]]),"Active","InActive")</f>
        <v>Active</v>
      </c>
      <c r="N1499" t="s">
        <v>57</v>
      </c>
      <c r="O1499" t="s">
        <v>77</v>
      </c>
      <c r="P1499" t="s">
        <v>40</v>
      </c>
      <c r="Q1499" s="2">
        <v>62316</v>
      </c>
    </row>
    <row r="1500" spans="1:17" x14ac:dyDescent="0.2">
      <c r="A1500" s="1">
        <v>43435</v>
      </c>
      <c r="B1500">
        <v>95772</v>
      </c>
      <c r="C1500" t="s">
        <v>79</v>
      </c>
      <c r="D1500" t="s">
        <v>41</v>
      </c>
      <c r="E1500" t="s">
        <v>68</v>
      </c>
      <c r="F1500" s="5">
        <v>54</v>
      </c>
      <c r="G1500" t="str">
        <f>IF(Data[[#This Row],[Age]]&lt;25,"Under 25",IF(Data[[#This Row],[Age]]&lt;35,"25–34",IF(Data[[#This Row],[Age]]&lt;45,"35–44",IF(Data[[#This Row],[Age]]&lt;55,"45–54","55+"))))</f>
        <v>45–54</v>
      </c>
      <c r="H1500" t="s">
        <v>49</v>
      </c>
      <c r="I1500" t="s">
        <v>56</v>
      </c>
      <c r="J1500" t="s">
        <v>19</v>
      </c>
      <c r="K1500" s="1">
        <v>30817</v>
      </c>
      <c r="M1500" s="1" t="str">
        <f>IF(ISBLANK(Data[[#This Row],[EndDate]]),"Active","InActive")</f>
        <v>Active</v>
      </c>
      <c r="N1500" t="s">
        <v>57</v>
      </c>
      <c r="O1500" t="s">
        <v>77</v>
      </c>
      <c r="P1500" t="s">
        <v>40</v>
      </c>
      <c r="Q1500" s="2">
        <v>31968</v>
      </c>
    </row>
    <row r="1501" spans="1:17" x14ac:dyDescent="0.2">
      <c r="A1501" s="1">
        <v>43070</v>
      </c>
      <c r="B1501">
        <v>50282</v>
      </c>
      <c r="C1501" t="s">
        <v>79</v>
      </c>
      <c r="D1501" t="s">
        <v>43</v>
      </c>
      <c r="E1501" t="s">
        <v>44</v>
      </c>
      <c r="F1501" s="5">
        <v>54</v>
      </c>
      <c r="G1501" t="str">
        <f>IF(Data[[#This Row],[Age]]&lt;25,"Under 25",IF(Data[[#This Row],[Age]]&lt;35,"25–34",IF(Data[[#This Row],[Age]]&lt;45,"35–44",IF(Data[[#This Row],[Age]]&lt;55,"45–54","55+"))))</f>
        <v>45–54</v>
      </c>
      <c r="H1501" t="s">
        <v>31</v>
      </c>
      <c r="I1501" t="s">
        <v>18</v>
      </c>
      <c r="J1501" t="s">
        <v>35</v>
      </c>
      <c r="K1501" s="1">
        <v>37544</v>
      </c>
      <c r="M1501" s="1" t="str">
        <f>IF(ISBLANK(Data[[#This Row],[EndDate]]),"Active","InActive")</f>
        <v>Active</v>
      </c>
      <c r="N1501" t="s">
        <v>20</v>
      </c>
      <c r="O1501" t="s">
        <v>77</v>
      </c>
      <c r="P1501" t="s">
        <v>32</v>
      </c>
      <c r="Q1501" s="2">
        <v>107784</v>
      </c>
    </row>
    <row r="1502" spans="1:17" x14ac:dyDescent="0.2">
      <c r="A1502" s="1">
        <v>42705</v>
      </c>
      <c r="B1502">
        <v>26228</v>
      </c>
      <c r="C1502" t="s">
        <v>80</v>
      </c>
      <c r="D1502" t="s">
        <v>47</v>
      </c>
      <c r="E1502" t="s">
        <v>64</v>
      </c>
      <c r="F1502" s="5">
        <v>54</v>
      </c>
      <c r="G1502" t="str">
        <f>IF(Data[[#This Row],[Age]]&lt;25,"Under 25",IF(Data[[#This Row],[Age]]&lt;35,"25–34",IF(Data[[#This Row],[Age]]&lt;45,"35–44",IF(Data[[#This Row],[Age]]&lt;55,"45–54","55+"))))</f>
        <v>45–54</v>
      </c>
      <c r="H1502" t="s">
        <v>31</v>
      </c>
      <c r="I1502" t="s">
        <v>18</v>
      </c>
      <c r="J1502" t="s">
        <v>37</v>
      </c>
      <c r="K1502" s="1">
        <v>39708</v>
      </c>
      <c r="M1502" s="1" t="str">
        <f>IF(ISBLANK(Data[[#This Row],[EndDate]]),"Active","InActive")</f>
        <v>Active</v>
      </c>
      <c r="N1502" t="s">
        <v>20</v>
      </c>
      <c r="O1502" t="s">
        <v>77</v>
      </c>
      <c r="P1502" t="s">
        <v>22</v>
      </c>
      <c r="Q1502" s="2">
        <v>13716</v>
      </c>
    </row>
    <row r="1503" spans="1:17" x14ac:dyDescent="0.2">
      <c r="A1503" s="1">
        <v>42705</v>
      </c>
      <c r="B1503">
        <v>113934</v>
      </c>
      <c r="C1503" t="s">
        <v>80</v>
      </c>
      <c r="D1503" t="s">
        <v>27</v>
      </c>
      <c r="E1503" t="s">
        <v>74</v>
      </c>
      <c r="F1503" s="5">
        <v>54</v>
      </c>
      <c r="G1503" t="str">
        <f>IF(Data[[#This Row],[Age]]&lt;25,"Under 25",IF(Data[[#This Row],[Age]]&lt;35,"25–34",IF(Data[[#This Row],[Age]]&lt;45,"35–44",IF(Data[[#This Row],[Age]]&lt;55,"45–54","55+"))))</f>
        <v>45–54</v>
      </c>
      <c r="H1503" t="s">
        <v>25</v>
      </c>
      <c r="I1503" t="s">
        <v>18</v>
      </c>
      <c r="J1503" t="s">
        <v>35</v>
      </c>
      <c r="K1503" s="1">
        <v>40857</v>
      </c>
      <c r="M1503" s="1" t="str">
        <f>IF(ISBLANK(Data[[#This Row],[EndDate]]),"Active","InActive")</f>
        <v>Active</v>
      </c>
      <c r="N1503" t="s">
        <v>20</v>
      </c>
      <c r="O1503" t="s">
        <v>77</v>
      </c>
      <c r="P1503" t="s">
        <v>22</v>
      </c>
      <c r="Q1503" s="2">
        <v>19332</v>
      </c>
    </row>
    <row r="1504" spans="1:17" x14ac:dyDescent="0.2">
      <c r="A1504" s="1">
        <v>43070</v>
      </c>
      <c r="B1504">
        <v>43612</v>
      </c>
      <c r="C1504" t="s">
        <v>80</v>
      </c>
      <c r="D1504" t="s">
        <v>43</v>
      </c>
      <c r="E1504" t="s">
        <v>60</v>
      </c>
      <c r="F1504" s="5">
        <v>54</v>
      </c>
      <c r="G1504" t="str">
        <f>IF(Data[[#This Row],[Age]]&lt;25,"Under 25",IF(Data[[#This Row],[Age]]&lt;35,"25–34",IF(Data[[#This Row],[Age]]&lt;45,"35–44",IF(Data[[#This Row],[Age]]&lt;55,"45–54","55+"))))</f>
        <v>45–54</v>
      </c>
      <c r="H1504" t="s">
        <v>17</v>
      </c>
      <c r="I1504" t="s">
        <v>18</v>
      </c>
      <c r="J1504" t="s">
        <v>37</v>
      </c>
      <c r="K1504" s="1">
        <v>39140</v>
      </c>
      <c r="M1504" s="1" t="str">
        <f>IF(ISBLANK(Data[[#This Row],[EndDate]]),"Active","InActive")</f>
        <v>Active</v>
      </c>
      <c r="N1504" t="s">
        <v>20</v>
      </c>
      <c r="O1504" t="s">
        <v>77</v>
      </c>
      <c r="P1504" t="s">
        <v>32</v>
      </c>
      <c r="Q1504" s="2">
        <v>15984</v>
      </c>
    </row>
    <row r="1505" spans="1:17" x14ac:dyDescent="0.2">
      <c r="A1505" s="1">
        <v>43070</v>
      </c>
      <c r="B1505">
        <v>55512</v>
      </c>
      <c r="C1505" t="s">
        <v>80</v>
      </c>
      <c r="D1505" t="s">
        <v>15</v>
      </c>
      <c r="E1505" t="s">
        <v>16</v>
      </c>
      <c r="F1505" s="5">
        <v>54</v>
      </c>
      <c r="G1505" t="str">
        <f>IF(Data[[#This Row],[Age]]&lt;25,"Under 25",IF(Data[[#This Row],[Age]]&lt;35,"25–34",IF(Data[[#This Row],[Age]]&lt;45,"35–44",IF(Data[[#This Row],[Age]]&lt;55,"45–54","55+"))))</f>
        <v>45–54</v>
      </c>
      <c r="H1505" t="s">
        <v>17</v>
      </c>
      <c r="I1505" t="s">
        <v>18</v>
      </c>
      <c r="J1505" t="s">
        <v>26</v>
      </c>
      <c r="K1505" s="1">
        <v>41159</v>
      </c>
      <c r="M1505" s="1" t="str">
        <f>IF(ISBLANK(Data[[#This Row],[EndDate]]),"Active","InActive")</f>
        <v>Active</v>
      </c>
      <c r="N1505" t="s">
        <v>20</v>
      </c>
      <c r="O1505" t="s">
        <v>77</v>
      </c>
      <c r="P1505" t="s">
        <v>32</v>
      </c>
      <c r="Q1505" s="2">
        <v>56700</v>
      </c>
    </row>
    <row r="1506" spans="1:17" x14ac:dyDescent="0.2">
      <c r="A1506" s="1">
        <v>43435</v>
      </c>
      <c r="B1506">
        <v>52424</v>
      </c>
      <c r="C1506" t="s">
        <v>80</v>
      </c>
      <c r="D1506" t="s">
        <v>23</v>
      </c>
      <c r="E1506" t="s">
        <v>65</v>
      </c>
      <c r="F1506" s="5">
        <v>54</v>
      </c>
      <c r="G1506" t="str">
        <f>IF(Data[[#This Row],[Age]]&lt;25,"Under 25",IF(Data[[#This Row],[Age]]&lt;35,"25–34",IF(Data[[#This Row],[Age]]&lt;45,"35–44",IF(Data[[#This Row],[Age]]&lt;55,"45–54","55+"))))</f>
        <v>45–54</v>
      </c>
      <c r="H1506" t="s">
        <v>59</v>
      </c>
      <c r="I1506" t="s">
        <v>18</v>
      </c>
      <c r="J1506" t="s">
        <v>35</v>
      </c>
      <c r="K1506" s="1">
        <v>41417</v>
      </c>
      <c r="M1506" s="1" t="str">
        <f>IF(ISBLANK(Data[[#This Row],[EndDate]]),"Active","InActive")</f>
        <v>Active</v>
      </c>
      <c r="N1506" t="s">
        <v>20</v>
      </c>
      <c r="O1506" t="s">
        <v>77</v>
      </c>
      <c r="P1506" t="s">
        <v>40</v>
      </c>
      <c r="Q1506" s="2">
        <v>92772</v>
      </c>
    </row>
    <row r="1507" spans="1:17" x14ac:dyDescent="0.2">
      <c r="A1507" s="1">
        <v>43435</v>
      </c>
      <c r="B1507">
        <v>52428</v>
      </c>
      <c r="C1507" t="s">
        <v>80</v>
      </c>
      <c r="D1507" t="s">
        <v>38</v>
      </c>
      <c r="E1507" t="s">
        <v>39</v>
      </c>
      <c r="F1507" s="5">
        <v>54</v>
      </c>
      <c r="G1507" t="str">
        <f>IF(Data[[#This Row],[Age]]&lt;25,"Under 25",IF(Data[[#This Row],[Age]]&lt;35,"25–34",IF(Data[[#This Row],[Age]]&lt;45,"35–44",IF(Data[[#This Row],[Age]]&lt;55,"45–54","55+"))))</f>
        <v>45–54</v>
      </c>
      <c r="H1507" t="s">
        <v>49</v>
      </c>
      <c r="I1507" t="s">
        <v>18</v>
      </c>
      <c r="J1507" t="s">
        <v>37</v>
      </c>
      <c r="K1507" s="1">
        <v>41922</v>
      </c>
      <c r="M1507" s="1" t="str">
        <f>IF(ISBLANK(Data[[#This Row],[EndDate]]),"Active","InActive")</f>
        <v>Active</v>
      </c>
      <c r="N1507" t="s">
        <v>20</v>
      </c>
      <c r="O1507" t="s">
        <v>77</v>
      </c>
      <c r="P1507" t="s">
        <v>40</v>
      </c>
      <c r="Q1507" s="2">
        <v>104112</v>
      </c>
    </row>
    <row r="1508" spans="1:17" x14ac:dyDescent="0.2">
      <c r="A1508" s="1">
        <v>43435</v>
      </c>
      <c r="B1508">
        <v>52502</v>
      </c>
      <c r="C1508" t="s">
        <v>80</v>
      </c>
      <c r="D1508" t="s">
        <v>41</v>
      </c>
      <c r="E1508" t="s">
        <v>68</v>
      </c>
      <c r="F1508" s="5">
        <v>54</v>
      </c>
      <c r="G1508" t="str">
        <f>IF(Data[[#This Row],[Age]]&lt;25,"Under 25",IF(Data[[#This Row],[Age]]&lt;35,"25–34",IF(Data[[#This Row],[Age]]&lt;45,"35–44",IF(Data[[#This Row],[Age]]&lt;55,"45–54","55+"))))</f>
        <v>45–54</v>
      </c>
      <c r="H1508" t="s">
        <v>59</v>
      </c>
      <c r="I1508" t="s">
        <v>18</v>
      </c>
      <c r="J1508" t="s">
        <v>35</v>
      </c>
      <c r="K1508" s="1">
        <v>41891</v>
      </c>
      <c r="M1508" s="1" t="str">
        <f>IF(ISBLANK(Data[[#This Row],[EndDate]]),"Active","InActive")</f>
        <v>Active</v>
      </c>
      <c r="N1508" t="s">
        <v>20</v>
      </c>
      <c r="O1508" t="s">
        <v>77</v>
      </c>
      <c r="P1508" t="s">
        <v>40</v>
      </c>
      <c r="Q1508" s="2">
        <v>41148</v>
      </c>
    </row>
    <row r="1509" spans="1:17" x14ac:dyDescent="0.2">
      <c r="A1509" s="1">
        <v>42705</v>
      </c>
      <c r="B1509">
        <v>40434</v>
      </c>
      <c r="C1509" t="s">
        <v>80</v>
      </c>
      <c r="D1509" t="s">
        <v>50</v>
      </c>
      <c r="E1509" t="s">
        <v>51</v>
      </c>
      <c r="F1509" s="5">
        <v>54</v>
      </c>
      <c r="G1509" t="str">
        <f>IF(Data[[#This Row],[Age]]&lt;25,"Under 25",IF(Data[[#This Row],[Age]]&lt;35,"25–34",IF(Data[[#This Row],[Age]]&lt;45,"35–44",IF(Data[[#This Row],[Age]]&lt;55,"45–54","55+"))))</f>
        <v>45–54</v>
      </c>
      <c r="H1509" t="s">
        <v>34</v>
      </c>
      <c r="I1509" t="s">
        <v>56</v>
      </c>
      <c r="J1509" t="s">
        <v>37</v>
      </c>
      <c r="K1509" s="1">
        <v>41137</v>
      </c>
      <c r="M1509" s="1" t="str">
        <f>IF(ISBLANK(Data[[#This Row],[EndDate]]),"Active","InActive")</f>
        <v>Active</v>
      </c>
      <c r="N1509" t="s">
        <v>57</v>
      </c>
      <c r="O1509" t="s">
        <v>77</v>
      </c>
      <c r="P1509" t="s">
        <v>22</v>
      </c>
      <c r="Q1509" s="2">
        <v>81648</v>
      </c>
    </row>
    <row r="1510" spans="1:17" x14ac:dyDescent="0.2">
      <c r="A1510" s="1">
        <v>42705</v>
      </c>
      <c r="B1510">
        <v>52826</v>
      </c>
      <c r="C1510" t="s">
        <v>80</v>
      </c>
      <c r="D1510" t="s">
        <v>27</v>
      </c>
      <c r="E1510" t="s">
        <v>28</v>
      </c>
      <c r="F1510" s="5">
        <v>54</v>
      </c>
      <c r="G1510" t="str">
        <f>IF(Data[[#This Row],[Age]]&lt;25,"Under 25",IF(Data[[#This Row],[Age]]&lt;35,"25–34",IF(Data[[#This Row],[Age]]&lt;45,"35–44",IF(Data[[#This Row],[Age]]&lt;55,"45–54","55+"))))</f>
        <v>45–54</v>
      </c>
      <c r="H1510" t="s">
        <v>59</v>
      </c>
      <c r="I1510" t="s">
        <v>56</v>
      </c>
      <c r="J1510" t="s">
        <v>37</v>
      </c>
      <c r="K1510" s="1">
        <v>38777</v>
      </c>
      <c r="M1510" s="1" t="str">
        <f>IF(ISBLANK(Data[[#This Row],[EndDate]]),"Active","InActive")</f>
        <v>Active</v>
      </c>
      <c r="N1510" t="s">
        <v>57</v>
      </c>
      <c r="O1510" t="s">
        <v>77</v>
      </c>
      <c r="P1510" t="s">
        <v>22</v>
      </c>
      <c r="Q1510" s="2">
        <v>101520</v>
      </c>
    </row>
    <row r="1511" spans="1:17" x14ac:dyDescent="0.2">
      <c r="A1511" s="1">
        <v>42705</v>
      </c>
      <c r="B1511">
        <v>55648</v>
      </c>
      <c r="C1511" t="s">
        <v>80</v>
      </c>
      <c r="D1511" t="s">
        <v>52</v>
      </c>
      <c r="E1511" t="s">
        <v>53</v>
      </c>
      <c r="F1511" s="5">
        <v>54</v>
      </c>
      <c r="G1511" t="str">
        <f>IF(Data[[#This Row],[Age]]&lt;25,"Under 25",IF(Data[[#This Row],[Age]]&lt;35,"25–34",IF(Data[[#This Row],[Age]]&lt;45,"35–44",IF(Data[[#This Row],[Age]]&lt;55,"45–54","55+"))))</f>
        <v>45–54</v>
      </c>
      <c r="H1511" t="s">
        <v>46</v>
      </c>
      <c r="I1511" t="s">
        <v>56</v>
      </c>
      <c r="J1511" t="s">
        <v>37</v>
      </c>
      <c r="K1511" s="1">
        <v>38182</v>
      </c>
      <c r="M1511" s="1" t="str">
        <f>IF(ISBLANK(Data[[#This Row],[EndDate]]),"Active","InActive")</f>
        <v>Active</v>
      </c>
      <c r="N1511" t="s">
        <v>57</v>
      </c>
      <c r="O1511" t="s">
        <v>77</v>
      </c>
      <c r="P1511" t="s">
        <v>22</v>
      </c>
      <c r="Q1511" s="2">
        <v>100116</v>
      </c>
    </row>
    <row r="1512" spans="1:17" x14ac:dyDescent="0.2">
      <c r="A1512" s="1">
        <v>42705</v>
      </c>
      <c r="B1512">
        <v>56296</v>
      </c>
      <c r="C1512" t="s">
        <v>80</v>
      </c>
      <c r="D1512" t="s">
        <v>27</v>
      </c>
      <c r="E1512" t="s">
        <v>28</v>
      </c>
      <c r="F1512" s="5">
        <v>54</v>
      </c>
      <c r="G1512" t="str">
        <f>IF(Data[[#This Row],[Age]]&lt;25,"Under 25",IF(Data[[#This Row],[Age]]&lt;35,"25–34",IF(Data[[#This Row],[Age]]&lt;45,"35–44",IF(Data[[#This Row],[Age]]&lt;55,"45–54","55+"))))</f>
        <v>45–54</v>
      </c>
      <c r="H1512" t="s">
        <v>31</v>
      </c>
      <c r="I1512" t="s">
        <v>56</v>
      </c>
      <c r="J1512" t="s">
        <v>35</v>
      </c>
      <c r="K1512" s="1">
        <v>40263</v>
      </c>
      <c r="M1512" s="1" t="str">
        <f>IF(ISBLANK(Data[[#This Row],[EndDate]]),"Active","InActive")</f>
        <v>Active</v>
      </c>
      <c r="N1512" t="s">
        <v>57</v>
      </c>
      <c r="O1512" t="s">
        <v>77</v>
      </c>
      <c r="P1512" t="s">
        <v>22</v>
      </c>
      <c r="Q1512" s="2">
        <v>37044</v>
      </c>
    </row>
    <row r="1513" spans="1:17" x14ac:dyDescent="0.2">
      <c r="A1513" s="1">
        <v>43070</v>
      </c>
      <c r="B1513">
        <v>49036</v>
      </c>
      <c r="C1513" t="s">
        <v>80</v>
      </c>
      <c r="D1513" t="s">
        <v>50</v>
      </c>
      <c r="E1513" t="s">
        <v>63</v>
      </c>
      <c r="F1513" s="5">
        <v>54</v>
      </c>
      <c r="G1513" t="str">
        <f>IF(Data[[#This Row],[Age]]&lt;25,"Under 25",IF(Data[[#This Row],[Age]]&lt;35,"25–34",IF(Data[[#This Row],[Age]]&lt;45,"35–44",IF(Data[[#This Row],[Age]]&lt;55,"45–54","55+"))))</f>
        <v>45–54</v>
      </c>
      <c r="H1513" t="s">
        <v>17</v>
      </c>
      <c r="I1513" t="s">
        <v>56</v>
      </c>
      <c r="J1513" t="s">
        <v>35</v>
      </c>
      <c r="K1513" s="1">
        <v>38638</v>
      </c>
      <c r="L1513" s="1">
        <v>38738</v>
      </c>
      <c r="M1513" s="1" t="str">
        <f>IF(ISBLANK(Data[[#This Row],[EndDate]]),"Active","InActive")</f>
        <v>InActive</v>
      </c>
      <c r="N1513" t="s">
        <v>57</v>
      </c>
      <c r="O1513" t="s">
        <v>77</v>
      </c>
      <c r="P1513" t="s">
        <v>32</v>
      </c>
      <c r="Q1513" s="2">
        <v>43200</v>
      </c>
    </row>
    <row r="1514" spans="1:17" x14ac:dyDescent="0.2">
      <c r="A1514" s="1">
        <v>43070</v>
      </c>
      <c r="B1514">
        <v>54100</v>
      </c>
      <c r="C1514" t="s">
        <v>80</v>
      </c>
      <c r="D1514" t="s">
        <v>41</v>
      </c>
      <c r="E1514" t="s">
        <v>68</v>
      </c>
      <c r="F1514" s="5">
        <v>54</v>
      </c>
      <c r="G1514" t="str">
        <f>IF(Data[[#This Row],[Age]]&lt;25,"Under 25",IF(Data[[#This Row],[Age]]&lt;35,"25–34",IF(Data[[#This Row],[Age]]&lt;45,"35–44",IF(Data[[#This Row],[Age]]&lt;55,"45–54","55+"))))</f>
        <v>45–54</v>
      </c>
      <c r="H1514" t="s">
        <v>46</v>
      </c>
      <c r="I1514" t="s">
        <v>56</v>
      </c>
      <c r="J1514" t="s">
        <v>26</v>
      </c>
      <c r="K1514" s="1">
        <v>39431</v>
      </c>
      <c r="M1514" s="1" t="str">
        <f>IF(ISBLANK(Data[[#This Row],[EndDate]]),"Active","InActive")</f>
        <v>Active</v>
      </c>
      <c r="N1514" t="s">
        <v>57</v>
      </c>
      <c r="O1514" t="s">
        <v>77</v>
      </c>
      <c r="P1514" t="s">
        <v>32</v>
      </c>
      <c r="Q1514" s="2">
        <v>23976</v>
      </c>
    </row>
    <row r="1515" spans="1:17" x14ac:dyDescent="0.2">
      <c r="A1515" s="1">
        <v>43435</v>
      </c>
      <c r="B1515">
        <v>92352</v>
      </c>
      <c r="C1515" t="s">
        <v>79</v>
      </c>
      <c r="D1515" t="s">
        <v>41</v>
      </c>
      <c r="E1515" t="s">
        <v>62</v>
      </c>
      <c r="F1515" s="5">
        <v>54</v>
      </c>
      <c r="G1515" t="str">
        <f>IF(Data[[#This Row],[Age]]&lt;25,"Under 25",IF(Data[[#This Row],[Age]]&lt;35,"25–34",IF(Data[[#This Row],[Age]]&lt;45,"35–44",IF(Data[[#This Row],[Age]]&lt;55,"45–54","55+"))))</f>
        <v>45–54</v>
      </c>
      <c r="H1515" t="s">
        <v>59</v>
      </c>
      <c r="I1515" t="s">
        <v>56</v>
      </c>
      <c r="J1515" t="s">
        <v>19</v>
      </c>
      <c r="K1515" s="1">
        <v>40764</v>
      </c>
      <c r="M1515" s="1" t="str">
        <f>IF(ISBLANK(Data[[#This Row],[EndDate]]),"Active","InActive")</f>
        <v>Active</v>
      </c>
      <c r="N1515" t="s">
        <v>57</v>
      </c>
      <c r="O1515" t="s">
        <v>77</v>
      </c>
      <c r="P1515" t="s">
        <v>40</v>
      </c>
      <c r="Q1515" s="2">
        <v>37368</v>
      </c>
    </row>
    <row r="1516" spans="1:17" x14ac:dyDescent="0.2">
      <c r="A1516" s="1">
        <v>42705</v>
      </c>
      <c r="B1516">
        <v>98818</v>
      </c>
      <c r="C1516" t="s">
        <v>79</v>
      </c>
      <c r="D1516" t="s">
        <v>15</v>
      </c>
      <c r="E1516" t="s">
        <v>70</v>
      </c>
      <c r="F1516" s="5">
        <v>54</v>
      </c>
      <c r="G1516" t="str">
        <f>IF(Data[[#This Row],[Age]]&lt;25,"Under 25",IF(Data[[#This Row],[Age]]&lt;35,"25–34",IF(Data[[#This Row],[Age]]&lt;45,"35–44",IF(Data[[#This Row],[Age]]&lt;55,"45–54","55+"))))</f>
        <v>45–54</v>
      </c>
      <c r="H1516" t="s">
        <v>46</v>
      </c>
      <c r="I1516" t="s">
        <v>18</v>
      </c>
      <c r="J1516" t="s">
        <v>26</v>
      </c>
      <c r="K1516" s="1">
        <v>41243</v>
      </c>
      <c r="L1516" s="1">
        <v>41303</v>
      </c>
      <c r="M1516" s="1" t="str">
        <f>IF(ISBLANK(Data[[#This Row],[EndDate]]),"Active","InActive")</f>
        <v>InActive</v>
      </c>
      <c r="N1516" t="s">
        <v>20</v>
      </c>
      <c r="O1516" t="s">
        <v>77</v>
      </c>
      <c r="P1516" t="s">
        <v>22</v>
      </c>
      <c r="Q1516" s="2">
        <v>55512</v>
      </c>
    </row>
    <row r="1517" spans="1:17" x14ac:dyDescent="0.2">
      <c r="A1517" s="1">
        <v>43070</v>
      </c>
      <c r="B1517">
        <v>95696</v>
      </c>
      <c r="C1517" t="s">
        <v>79</v>
      </c>
      <c r="D1517" t="s">
        <v>52</v>
      </c>
      <c r="E1517" t="s">
        <v>67</v>
      </c>
      <c r="F1517" s="5">
        <v>55</v>
      </c>
      <c r="G1517" t="str">
        <f>IF(Data[[#This Row],[Age]]&lt;25,"Under 25",IF(Data[[#This Row],[Age]]&lt;35,"25–34",IF(Data[[#This Row],[Age]]&lt;45,"35–44",IF(Data[[#This Row],[Age]]&lt;55,"45–54","55+"))))</f>
        <v>55+</v>
      </c>
      <c r="H1517" t="s">
        <v>34</v>
      </c>
      <c r="I1517" t="s">
        <v>56</v>
      </c>
      <c r="J1517" t="s">
        <v>19</v>
      </c>
      <c r="K1517" s="1">
        <v>32084</v>
      </c>
      <c r="M1517" s="1" t="str">
        <f>IF(ISBLANK(Data[[#This Row],[EndDate]]),"Active","InActive")</f>
        <v>Active</v>
      </c>
      <c r="N1517" t="s">
        <v>57</v>
      </c>
      <c r="O1517" t="s">
        <v>77</v>
      </c>
      <c r="P1517" t="s">
        <v>32</v>
      </c>
      <c r="Q1517" s="2">
        <v>47520</v>
      </c>
    </row>
    <row r="1518" spans="1:17" x14ac:dyDescent="0.2">
      <c r="A1518" s="1">
        <v>43435</v>
      </c>
      <c r="B1518">
        <v>92250</v>
      </c>
      <c r="C1518" t="s">
        <v>80</v>
      </c>
      <c r="D1518" t="s">
        <v>41</v>
      </c>
      <c r="E1518" t="s">
        <v>42</v>
      </c>
      <c r="F1518" s="5">
        <v>55</v>
      </c>
      <c r="G1518" t="str">
        <f>IF(Data[[#This Row],[Age]]&lt;25,"Under 25",IF(Data[[#This Row],[Age]]&lt;35,"25–34",IF(Data[[#This Row],[Age]]&lt;45,"35–44",IF(Data[[#This Row],[Age]]&lt;55,"45–54","55+"))))</f>
        <v>55+</v>
      </c>
      <c r="H1518" t="s">
        <v>59</v>
      </c>
      <c r="I1518" t="s">
        <v>56</v>
      </c>
      <c r="J1518" t="s">
        <v>19</v>
      </c>
      <c r="K1518" s="1">
        <v>29837</v>
      </c>
      <c r="M1518" s="1" t="str">
        <f>IF(ISBLANK(Data[[#This Row],[EndDate]]),"Active","InActive")</f>
        <v>Active</v>
      </c>
      <c r="N1518" t="s">
        <v>57</v>
      </c>
      <c r="O1518" t="s">
        <v>77</v>
      </c>
      <c r="P1518" t="s">
        <v>40</v>
      </c>
      <c r="Q1518" s="2">
        <v>27720</v>
      </c>
    </row>
    <row r="1519" spans="1:17" x14ac:dyDescent="0.2">
      <c r="A1519" s="1">
        <v>43435</v>
      </c>
      <c r="B1519">
        <v>50282</v>
      </c>
      <c r="C1519" t="s">
        <v>79</v>
      </c>
      <c r="D1519" t="s">
        <v>43</v>
      </c>
      <c r="E1519" t="s">
        <v>44</v>
      </c>
      <c r="F1519" s="5">
        <v>55</v>
      </c>
      <c r="G1519" t="str">
        <f>IF(Data[[#This Row],[Age]]&lt;25,"Under 25",IF(Data[[#This Row],[Age]]&lt;35,"25–34",IF(Data[[#This Row],[Age]]&lt;45,"35–44",IF(Data[[#This Row],[Age]]&lt;55,"45–54","55+"))))</f>
        <v>55+</v>
      </c>
      <c r="H1519" t="s">
        <v>31</v>
      </c>
      <c r="I1519" t="s">
        <v>18</v>
      </c>
      <c r="J1519" t="s">
        <v>35</v>
      </c>
      <c r="K1519" s="1">
        <v>37544</v>
      </c>
      <c r="M1519" s="1" t="str">
        <f>IF(ISBLANK(Data[[#This Row],[EndDate]]),"Active","InActive")</f>
        <v>Active</v>
      </c>
      <c r="N1519" t="s">
        <v>20</v>
      </c>
      <c r="O1519" t="s">
        <v>77</v>
      </c>
      <c r="P1519" t="s">
        <v>40</v>
      </c>
      <c r="Q1519" s="2">
        <v>101530</v>
      </c>
    </row>
    <row r="1520" spans="1:17" x14ac:dyDescent="0.2">
      <c r="A1520" s="1">
        <v>42705</v>
      </c>
      <c r="B1520">
        <v>111288</v>
      </c>
      <c r="C1520" t="s">
        <v>80</v>
      </c>
      <c r="D1520" t="s">
        <v>52</v>
      </c>
      <c r="E1520" t="s">
        <v>53</v>
      </c>
      <c r="F1520" s="5">
        <v>55</v>
      </c>
      <c r="G1520" t="str">
        <f>IF(Data[[#This Row],[Age]]&lt;25,"Under 25",IF(Data[[#This Row],[Age]]&lt;35,"25–34",IF(Data[[#This Row],[Age]]&lt;45,"35–44",IF(Data[[#This Row],[Age]]&lt;55,"45–54","55+"))))</f>
        <v>55+</v>
      </c>
      <c r="H1520" t="s">
        <v>31</v>
      </c>
      <c r="I1520" t="s">
        <v>18</v>
      </c>
      <c r="J1520" t="s">
        <v>35</v>
      </c>
      <c r="K1520" s="1">
        <v>40977</v>
      </c>
      <c r="M1520" s="1" t="str">
        <f>IF(ISBLANK(Data[[#This Row],[EndDate]]),"Active","InActive")</f>
        <v>Active</v>
      </c>
      <c r="N1520" t="s">
        <v>20</v>
      </c>
      <c r="O1520" t="s">
        <v>77</v>
      </c>
      <c r="P1520" t="s">
        <v>22</v>
      </c>
      <c r="Q1520" s="2">
        <v>50820</v>
      </c>
    </row>
    <row r="1521" spans="1:17" x14ac:dyDescent="0.2">
      <c r="A1521" s="1">
        <v>43070</v>
      </c>
      <c r="B1521">
        <v>9500</v>
      </c>
      <c r="C1521" t="s">
        <v>80</v>
      </c>
      <c r="D1521" t="s">
        <v>29</v>
      </c>
      <c r="E1521" t="s">
        <v>33</v>
      </c>
      <c r="F1521" s="5">
        <v>55</v>
      </c>
      <c r="G1521" t="str">
        <f>IF(Data[[#This Row],[Age]]&lt;25,"Under 25",IF(Data[[#This Row],[Age]]&lt;35,"25–34",IF(Data[[#This Row],[Age]]&lt;45,"35–44",IF(Data[[#This Row],[Age]]&lt;55,"45–54","55+"))))</f>
        <v>55+</v>
      </c>
      <c r="H1521" t="s">
        <v>17</v>
      </c>
      <c r="I1521" t="s">
        <v>18</v>
      </c>
      <c r="J1521" t="s">
        <v>37</v>
      </c>
      <c r="K1521" s="1">
        <v>41530</v>
      </c>
      <c r="M1521" s="1" t="str">
        <f>IF(ISBLANK(Data[[#This Row],[EndDate]]),"Active","InActive")</f>
        <v>Active</v>
      </c>
      <c r="N1521" t="s">
        <v>20</v>
      </c>
      <c r="O1521" t="s">
        <v>77</v>
      </c>
      <c r="P1521" t="s">
        <v>32</v>
      </c>
      <c r="Q1521" s="2">
        <v>109340</v>
      </c>
    </row>
    <row r="1522" spans="1:17" x14ac:dyDescent="0.2">
      <c r="A1522" s="1">
        <v>43070</v>
      </c>
      <c r="B1522">
        <v>17932</v>
      </c>
      <c r="C1522" t="s">
        <v>80</v>
      </c>
      <c r="D1522" t="s">
        <v>15</v>
      </c>
      <c r="E1522" t="s">
        <v>58</v>
      </c>
      <c r="F1522" s="5">
        <v>55</v>
      </c>
      <c r="G1522" t="str">
        <f>IF(Data[[#This Row],[Age]]&lt;25,"Under 25",IF(Data[[#This Row],[Age]]&lt;35,"25–34",IF(Data[[#This Row],[Age]]&lt;45,"35–44",IF(Data[[#This Row],[Age]]&lt;55,"45–54","55+"))))</f>
        <v>55+</v>
      </c>
      <c r="H1522" t="s">
        <v>25</v>
      </c>
      <c r="I1522" t="s">
        <v>18</v>
      </c>
      <c r="J1522" t="s">
        <v>35</v>
      </c>
      <c r="K1522" s="1">
        <v>41550</v>
      </c>
      <c r="M1522" s="1" t="str">
        <f>IF(ISBLANK(Data[[#This Row],[EndDate]]),"Active","InActive")</f>
        <v>Active</v>
      </c>
      <c r="N1522" t="s">
        <v>20</v>
      </c>
      <c r="O1522" t="s">
        <v>77</v>
      </c>
      <c r="P1522" t="s">
        <v>32</v>
      </c>
      <c r="Q1522" s="2">
        <v>88330</v>
      </c>
    </row>
    <row r="1523" spans="1:17" x14ac:dyDescent="0.2">
      <c r="A1523" s="1">
        <v>43435</v>
      </c>
      <c r="B1523">
        <v>43612</v>
      </c>
      <c r="C1523" t="s">
        <v>80</v>
      </c>
      <c r="D1523" t="s">
        <v>43</v>
      </c>
      <c r="E1523" t="s">
        <v>60</v>
      </c>
      <c r="F1523" s="5">
        <v>55</v>
      </c>
      <c r="G1523" t="str">
        <f>IF(Data[[#This Row],[Age]]&lt;25,"Under 25",IF(Data[[#This Row],[Age]]&lt;35,"25–34",IF(Data[[#This Row],[Age]]&lt;45,"35–44",IF(Data[[#This Row],[Age]]&lt;55,"45–54","55+"))))</f>
        <v>55+</v>
      </c>
      <c r="H1523" t="s">
        <v>17</v>
      </c>
      <c r="I1523" t="s">
        <v>18</v>
      </c>
      <c r="J1523" t="s">
        <v>37</v>
      </c>
      <c r="K1523" s="1">
        <v>39140</v>
      </c>
      <c r="M1523" s="1" t="str">
        <f>IF(ISBLANK(Data[[#This Row],[EndDate]]),"Active","InActive")</f>
        <v>Active</v>
      </c>
      <c r="N1523" t="s">
        <v>20</v>
      </c>
      <c r="O1523" t="s">
        <v>77</v>
      </c>
      <c r="P1523" t="s">
        <v>40</v>
      </c>
      <c r="Q1523" s="2">
        <v>44660</v>
      </c>
    </row>
    <row r="1524" spans="1:17" x14ac:dyDescent="0.2">
      <c r="A1524" s="1">
        <v>43435</v>
      </c>
      <c r="B1524">
        <v>55512</v>
      </c>
      <c r="C1524" t="s">
        <v>80</v>
      </c>
      <c r="D1524" t="s">
        <v>15</v>
      </c>
      <c r="E1524" t="s">
        <v>16</v>
      </c>
      <c r="F1524" s="5">
        <v>55</v>
      </c>
      <c r="G1524" t="str">
        <f>IF(Data[[#This Row],[Age]]&lt;25,"Under 25",IF(Data[[#This Row],[Age]]&lt;35,"25–34",IF(Data[[#This Row],[Age]]&lt;45,"35–44",IF(Data[[#This Row],[Age]]&lt;55,"45–54","55+"))))</f>
        <v>55+</v>
      </c>
      <c r="H1524" t="s">
        <v>17</v>
      </c>
      <c r="I1524" t="s">
        <v>18</v>
      </c>
      <c r="J1524" t="s">
        <v>26</v>
      </c>
      <c r="K1524" s="1">
        <v>41159</v>
      </c>
      <c r="M1524" s="1" t="str">
        <f>IF(ISBLANK(Data[[#This Row],[EndDate]]),"Active","InActive")</f>
        <v>Active</v>
      </c>
      <c r="N1524" t="s">
        <v>20</v>
      </c>
      <c r="O1524" t="s">
        <v>77</v>
      </c>
      <c r="P1524" t="s">
        <v>40</v>
      </c>
      <c r="Q1524" s="2">
        <v>87230</v>
      </c>
    </row>
    <row r="1525" spans="1:17" x14ac:dyDescent="0.2">
      <c r="A1525" s="1">
        <v>43435</v>
      </c>
      <c r="B1525">
        <v>56474</v>
      </c>
      <c r="C1525" t="s">
        <v>80</v>
      </c>
      <c r="D1525" t="s">
        <v>52</v>
      </c>
      <c r="E1525" t="s">
        <v>69</v>
      </c>
      <c r="F1525" s="5">
        <v>55</v>
      </c>
      <c r="G1525" t="str">
        <f>IF(Data[[#This Row],[Age]]&lt;25,"Under 25",IF(Data[[#This Row],[Age]]&lt;35,"25–34",IF(Data[[#This Row],[Age]]&lt;45,"35–44",IF(Data[[#This Row],[Age]]&lt;55,"45–54","55+"))))</f>
        <v>55+</v>
      </c>
      <c r="H1525" t="s">
        <v>46</v>
      </c>
      <c r="I1525" t="s">
        <v>18</v>
      </c>
      <c r="J1525" t="s">
        <v>37</v>
      </c>
      <c r="K1525" s="1">
        <v>41961</v>
      </c>
      <c r="M1525" s="1" t="str">
        <f>IF(ISBLANK(Data[[#This Row],[EndDate]]),"Active","InActive")</f>
        <v>Active</v>
      </c>
      <c r="N1525" t="s">
        <v>20</v>
      </c>
      <c r="O1525" t="s">
        <v>77</v>
      </c>
      <c r="P1525" t="s">
        <v>40</v>
      </c>
      <c r="Q1525" s="2">
        <v>55000</v>
      </c>
    </row>
    <row r="1526" spans="1:17" x14ac:dyDescent="0.2">
      <c r="A1526" s="1">
        <v>42705</v>
      </c>
      <c r="B1526">
        <v>16678</v>
      </c>
      <c r="C1526" t="s">
        <v>80</v>
      </c>
      <c r="D1526" t="s">
        <v>52</v>
      </c>
      <c r="E1526" t="s">
        <v>67</v>
      </c>
      <c r="F1526" s="5">
        <v>55</v>
      </c>
      <c r="G1526" t="str">
        <f>IF(Data[[#This Row],[Age]]&lt;25,"Under 25",IF(Data[[#This Row],[Age]]&lt;35,"25–34",IF(Data[[#This Row],[Age]]&lt;45,"35–44",IF(Data[[#This Row],[Age]]&lt;55,"45–54","55+"))))</f>
        <v>55+</v>
      </c>
      <c r="H1526" t="s">
        <v>49</v>
      </c>
      <c r="I1526" t="s">
        <v>56</v>
      </c>
      <c r="J1526" t="s">
        <v>37</v>
      </c>
      <c r="K1526" s="1">
        <v>41067</v>
      </c>
      <c r="M1526" s="1" t="str">
        <f>IF(ISBLANK(Data[[#This Row],[EndDate]]),"Active","InActive")</f>
        <v>Active</v>
      </c>
      <c r="N1526" t="s">
        <v>57</v>
      </c>
      <c r="O1526" t="s">
        <v>77</v>
      </c>
      <c r="P1526" t="s">
        <v>22</v>
      </c>
      <c r="Q1526" s="2">
        <v>18150</v>
      </c>
    </row>
    <row r="1527" spans="1:17" x14ac:dyDescent="0.2">
      <c r="A1527" s="1">
        <v>42705</v>
      </c>
      <c r="B1527">
        <v>40472</v>
      </c>
      <c r="C1527" t="s">
        <v>79</v>
      </c>
      <c r="D1527" t="s">
        <v>47</v>
      </c>
      <c r="E1527" t="s">
        <v>73</v>
      </c>
      <c r="F1527" s="5">
        <v>55</v>
      </c>
      <c r="G1527" t="str">
        <f>IF(Data[[#This Row],[Age]]&lt;25,"Under 25",IF(Data[[#This Row],[Age]]&lt;35,"25–34",IF(Data[[#This Row],[Age]]&lt;45,"35–44",IF(Data[[#This Row],[Age]]&lt;55,"45–54","55+"))))</f>
        <v>55+</v>
      </c>
      <c r="H1527" t="s">
        <v>34</v>
      </c>
      <c r="I1527" t="s">
        <v>56</v>
      </c>
      <c r="J1527" t="s">
        <v>37</v>
      </c>
      <c r="K1527" s="1">
        <v>38490</v>
      </c>
      <c r="L1527" s="1">
        <v>38550</v>
      </c>
      <c r="M1527" s="1" t="str">
        <f>IF(ISBLANK(Data[[#This Row],[EndDate]]),"Active","InActive")</f>
        <v>InActive</v>
      </c>
      <c r="N1527" t="s">
        <v>57</v>
      </c>
      <c r="O1527" t="s">
        <v>77</v>
      </c>
      <c r="P1527" t="s">
        <v>22</v>
      </c>
      <c r="Q1527" s="2">
        <v>84260</v>
      </c>
    </row>
    <row r="1528" spans="1:17" x14ac:dyDescent="0.2">
      <c r="A1528" s="1">
        <v>42705</v>
      </c>
      <c r="B1528">
        <v>50278</v>
      </c>
      <c r="C1528" t="s">
        <v>79</v>
      </c>
      <c r="D1528" t="s">
        <v>52</v>
      </c>
      <c r="E1528" t="s">
        <v>53</v>
      </c>
      <c r="F1528" s="5">
        <v>55</v>
      </c>
      <c r="G1528" t="str">
        <f>IF(Data[[#This Row],[Age]]&lt;25,"Under 25",IF(Data[[#This Row],[Age]]&lt;35,"25–34",IF(Data[[#This Row],[Age]]&lt;45,"35–44",IF(Data[[#This Row],[Age]]&lt;55,"45–54","55+"))))</f>
        <v>55+</v>
      </c>
      <c r="H1528" t="s">
        <v>25</v>
      </c>
      <c r="I1528" t="s">
        <v>56</v>
      </c>
      <c r="J1528" t="s">
        <v>37</v>
      </c>
      <c r="K1528" s="1">
        <v>36812</v>
      </c>
      <c r="M1528" s="1" t="str">
        <f>IF(ISBLANK(Data[[#This Row],[EndDate]]),"Active","InActive")</f>
        <v>Active</v>
      </c>
      <c r="N1528" t="s">
        <v>57</v>
      </c>
      <c r="O1528" t="s">
        <v>77</v>
      </c>
      <c r="P1528" t="s">
        <v>22</v>
      </c>
      <c r="Q1528" s="2">
        <v>107030</v>
      </c>
    </row>
    <row r="1529" spans="1:17" x14ac:dyDescent="0.2">
      <c r="A1529" s="1">
        <v>42705</v>
      </c>
      <c r="B1529">
        <v>50884</v>
      </c>
      <c r="C1529" t="s">
        <v>79</v>
      </c>
      <c r="D1529" t="s">
        <v>27</v>
      </c>
      <c r="E1529" t="s">
        <v>74</v>
      </c>
      <c r="F1529" s="5">
        <v>55</v>
      </c>
      <c r="G1529" t="str">
        <f>IF(Data[[#This Row],[Age]]&lt;25,"Under 25",IF(Data[[#This Row],[Age]]&lt;35,"25–34",IF(Data[[#This Row],[Age]]&lt;45,"35–44",IF(Data[[#This Row],[Age]]&lt;55,"45–54","55+"))))</f>
        <v>55+</v>
      </c>
      <c r="H1529" t="s">
        <v>34</v>
      </c>
      <c r="I1529" t="s">
        <v>56</v>
      </c>
      <c r="J1529" t="s">
        <v>37</v>
      </c>
      <c r="K1529" s="1">
        <v>38457</v>
      </c>
      <c r="M1529" s="1" t="str">
        <f>IF(ISBLANK(Data[[#This Row],[EndDate]]),"Active","InActive")</f>
        <v>Active</v>
      </c>
      <c r="N1529" t="s">
        <v>57</v>
      </c>
      <c r="O1529" t="s">
        <v>77</v>
      </c>
      <c r="P1529" t="s">
        <v>22</v>
      </c>
      <c r="Q1529" s="2">
        <v>101640</v>
      </c>
    </row>
    <row r="1530" spans="1:17" x14ac:dyDescent="0.2">
      <c r="A1530" s="1">
        <v>42705</v>
      </c>
      <c r="B1530">
        <v>51916</v>
      </c>
      <c r="C1530" t="s">
        <v>79</v>
      </c>
      <c r="D1530" t="s">
        <v>29</v>
      </c>
      <c r="E1530" t="s">
        <v>36</v>
      </c>
      <c r="F1530" s="5">
        <v>55</v>
      </c>
      <c r="G1530" t="str">
        <f>IF(Data[[#This Row],[Age]]&lt;25,"Under 25",IF(Data[[#This Row],[Age]]&lt;35,"25–34",IF(Data[[#This Row],[Age]]&lt;45,"35–44",IF(Data[[#This Row],[Age]]&lt;55,"45–54","55+"))))</f>
        <v>55+</v>
      </c>
      <c r="H1530" t="s">
        <v>59</v>
      </c>
      <c r="I1530" t="s">
        <v>56</v>
      </c>
      <c r="J1530" t="s">
        <v>35</v>
      </c>
      <c r="K1530" s="1">
        <v>37754</v>
      </c>
      <c r="M1530" s="1" t="str">
        <f>IF(ISBLANK(Data[[#This Row],[EndDate]]),"Active","InActive")</f>
        <v>Active</v>
      </c>
      <c r="N1530" t="s">
        <v>57</v>
      </c>
      <c r="O1530" t="s">
        <v>77</v>
      </c>
      <c r="P1530" t="s">
        <v>22</v>
      </c>
      <c r="Q1530" s="2">
        <v>34100</v>
      </c>
    </row>
    <row r="1531" spans="1:17" x14ac:dyDescent="0.2">
      <c r="A1531" s="1">
        <v>42705</v>
      </c>
      <c r="B1531">
        <v>52566</v>
      </c>
      <c r="C1531" t="s">
        <v>80</v>
      </c>
      <c r="D1531" t="s">
        <v>15</v>
      </c>
      <c r="E1531" t="s">
        <v>58</v>
      </c>
      <c r="F1531" s="5">
        <v>55</v>
      </c>
      <c r="G1531" t="str">
        <f>IF(Data[[#This Row],[Age]]&lt;25,"Under 25",IF(Data[[#This Row],[Age]]&lt;35,"25–34",IF(Data[[#This Row],[Age]]&lt;45,"35–44",IF(Data[[#This Row],[Age]]&lt;55,"45–54","55+"))))</f>
        <v>55+</v>
      </c>
      <c r="H1531" t="s">
        <v>46</v>
      </c>
      <c r="I1531" t="s">
        <v>56</v>
      </c>
      <c r="J1531" t="s">
        <v>35</v>
      </c>
      <c r="K1531" s="1">
        <v>40079</v>
      </c>
      <c r="M1531" s="1" t="str">
        <f>IF(ISBLANK(Data[[#This Row],[EndDate]]),"Active","InActive")</f>
        <v>Active</v>
      </c>
      <c r="N1531" t="s">
        <v>57</v>
      </c>
      <c r="O1531" t="s">
        <v>77</v>
      </c>
      <c r="P1531" t="s">
        <v>22</v>
      </c>
      <c r="Q1531" s="2">
        <v>97680</v>
      </c>
    </row>
    <row r="1532" spans="1:17" x14ac:dyDescent="0.2">
      <c r="A1532" s="1">
        <v>43070</v>
      </c>
      <c r="B1532">
        <v>40434</v>
      </c>
      <c r="C1532" t="s">
        <v>80</v>
      </c>
      <c r="D1532" t="s">
        <v>50</v>
      </c>
      <c r="E1532" t="s">
        <v>51</v>
      </c>
      <c r="F1532" s="5">
        <v>55</v>
      </c>
      <c r="G1532" t="str">
        <f>IF(Data[[#This Row],[Age]]&lt;25,"Under 25",IF(Data[[#This Row],[Age]]&lt;35,"25–34",IF(Data[[#This Row],[Age]]&lt;45,"35–44",IF(Data[[#This Row],[Age]]&lt;55,"45–54","55+"))))</f>
        <v>55+</v>
      </c>
      <c r="H1532" t="s">
        <v>34</v>
      </c>
      <c r="I1532" t="s">
        <v>56</v>
      </c>
      <c r="J1532" t="s">
        <v>37</v>
      </c>
      <c r="K1532" s="1">
        <v>41137</v>
      </c>
      <c r="M1532" s="1" t="str">
        <f>IF(ISBLANK(Data[[#This Row],[EndDate]]),"Active","InActive")</f>
        <v>Active</v>
      </c>
      <c r="N1532" t="s">
        <v>57</v>
      </c>
      <c r="O1532" t="s">
        <v>77</v>
      </c>
      <c r="P1532" t="s">
        <v>32</v>
      </c>
      <c r="Q1532" s="2">
        <v>82390</v>
      </c>
    </row>
    <row r="1533" spans="1:17" x14ac:dyDescent="0.2">
      <c r="A1533" s="1">
        <v>43070</v>
      </c>
      <c r="B1533">
        <v>52826</v>
      </c>
      <c r="C1533" t="s">
        <v>80</v>
      </c>
      <c r="D1533" t="s">
        <v>27</v>
      </c>
      <c r="E1533" t="s">
        <v>28</v>
      </c>
      <c r="F1533" s="5">
        <v>55</v>
      </c>
      <c r="G1533" t="str">
        <f>IF(Data[[#This Row],[Age]]&lt;25,"Under 25",IF(Data[[#This Row],[Age]]&lt;35,"25–34",IF(Data[[#This Row],[Age]]&lt;45,"35–44",IF(Data[[#This Row],[Age]]&lt;55,"45–54","55+"))))</f>
        <v>55+</v>
      </c>
      <c r="H1533" t="s">
        <v>59</v>
      </c>
      <c r="I1533" t="s">
        <v>56</v>
      </c>
      <c r="J1533" t="s">
        <v>37</v>
      </c>
      <c r="K1533" s="1">
        <v>38777</v>
      </c>
      <c r="M1533" s="1" t="str">
        <f>IF(ISBLANK(Data[[#This Row],[EndDate]]),"Active","InActive")</f>
        <v>Active</v>
      </c>
      <c r="N1533" t="s">
        <v>57</v>
      </c>
      <c r="O1533" t="s">
        <v>77</v>
      </c>
      <c r="P1533" t="s">
        <v>32</v>
      </c>
      <c r="Q1533" s="2">
        <v>91080</v>
      </c>
    </row>
    <row r="1534" spans="1:17" x14ac:dyDescent="0.2">
      <c r="A1534" s="1">
        <v>43070</v>
      </c>
      <c r="B1534">
        <v>55648</v>
      </c>
      <c r="C1534" t="s">
        <v>80</v>
      </c>
      <c r="D1534" t="s">
        <v>52</v>
      </c>
      <c r="E1534" t="s">
        <v>53</v>
      </c>
      <c r="F1534" s="5">
        <v>55</v>
      </c>
      <c r="G1534" t="str">
        <f>IF(Data[[#This Row],[Age]]&lt;25,"Under 25",IF(Data[[#This Row],[Age]]&lt;35,"25–34",IF(Data[[#This Row],[Age]]&lt;45,"35–44",IF(Data[[#This Row],[Age]]&lt;55,"45–54","55+"))))</f>
        <v>55+</v>
      </c>
      <c r="H1534" t="s">
        <v>46</v>
      </c>
      <c r="I1534" t="s">
        <v>56</v>
      </c>
      <c r="J1534" t="s">
        <v>37</v>
      </c>
      <c r="K1534" s="1">
        <v>38182</v>
      </c>
      <c r="M1534" s="1" t="str">
        <f>IF(ISBLANK(Data[[#This Row],[EndDate]]),"Active","InActive")</f>
        <v>Active</v>
      </c>
      <c r="N1534" t="s">
        <v>57</v>
      </c>
      <c r="O1534" t="s">
        <v>77</v>
      </c>
      <c r="P1534" t="s">
        <v>32</v>
      </c>
      <c r="Q1534" s="2">
        <v>40590</v>
      </c>
    </row>
    <row r="1535" spans="1:17" x14ac:dyDescent="0.2">
      <c r="A1535" s="1">
        <v>43070</v>
      </c>
      <c r="B1535">
        <v>56296</v>
      </c>
      <c r="C1535" t="s">
        <v>80</v>
      </c>
      <c r="D1535" t="s">
        <v>27</v>
      </c>
      <c r="E1535" t="s">
        <v>28</v>
      </c>
      <c r="F1535" s="5">
        <v>55</v>
      </c>
      <c r="G1535" t="str">
        <f>IF(Data[[#This Row],[Age]]&lt;25,"Under 25",IF(Data[[#This Row],[Age]]&lt;35,"25–34",IF(Data[[#This Row],[Age]]&lt;45,"35–44",IF(Data[[#This Row],[Age]]&lt;55,"45–54","55+"))))</f>
        <v>55+</v>
      </c>
      <c r="H1535" t="s">
        <v>31</v>
      </c>
      <c r="I1535" t="s">
        <v>56</v>
      </c>
      <c r="J1535" t="s">
        <v>35</v>
      </c>
      <c r="K1535" s="1">
        <v>40263</v>
      </c>
      <c r="M1535" s="1" t="str">
        <f>IF(ISBLANK(Data[[#This Row],[EndDate]]),"Active","InActive")</f>
        <v>Active</v>
      </c>
      <c r="N1535" t="s">
        <v>57</v>
      </c>
      <c r="O1535" t="s">
        <v>77</v>
      </c>
      <c r="P1535" t="s">
        <v>32</v>
      </c>
      <c r="Q1535" s="2">
        <v>30690</v>
      </c>
    </row>
    <row r="1536" spans="1:17" x14ac:dyDescent="0.2">
      <c r="A1536" s="1">
        <v>43435</v>
      </c>
      <c r="B1536">
        <v>49036</v>
      </c>
      <c r="C1536" t="s">
        <v>80</v>
      </c>
      <c r="D1536" t="s">
        <v>50</v>
      </c>
      <c r="E1536" t="s">
        <v>63</v>
      </c>
      <c r="F1536" s="5">
        <v>55</v>
      </c>
      <c r="G1536" t="str">
        <f>IF(Data[[#This Row],[Age]]&lt;25,"Under 25",IF(Data[[#This Row],[Age]]&lt;35,"25–34",IF(Data[[#This Row],[Age]]&lt;45,"35–44",IF(Data[[#This Row],[Age]]&lt;55,"45–54","55+"))))</f>
        <v>55+</v>
      </c>
      <c r="H1536" t="s">
        <v>17</v>
      </c>
      <c r="I1536" t="s">
        <v>56</v>
      </c>
      <c r="J1536" t="s">
        <v>35</v>
      </c>
      <c r="K1536" s="1">
        <v>38638</v>
      </c>
      <c r="M1536" s="1" t="str">
        <f>IF(ISBLANK(Data[[#This Row],[EndDate]]),"Active","InActive")</f>
        <v>Active</v>
      </c>
      <c r="N1536" t="s">
        <v>57</v>
      </c>
      <c r="O1536" t="s">
        <v>77</v>
      </c>
      <c r="P1536" t="s">
        <v>40</v>
      </c>
      <c r="Q1536" s="2">
        <v>41470</v>
      </c>
    </row>
    <row r="1537" spans="1:17" x14ac:dyDescent="0.2">
      <c r="A1537" s="1">
        <v>43435</v>
      </c>
      <c r="B1537">
        <v>54100</v>
      </c>
      <c r="C1537" t="s">
        <v>80</v>
      </c>
      <c r="D1537" t="s">
        <v>41</v>
      </c>
      <c r="E1537" t="s">
        <v>68</v>
      </c>
      <c r="F1537" s="5">
        <v>55</v>
      </c>
      <c r="G1537" t="str">
        <f>IF(Data[[#This Row],[Age]]&lt;25,"Under 25",IF(Data[[#This Row],[Age]]&lt;35,"25–34",IF(Data[[#This Row],[Age]]&lt;45,"35–44",IF(Data[[#This Row],[Age]]&lt;55,"45–54","55+"))))</f>
        <v>55+</v>
      </c>
      <c r="H1537" t="s">
        <v>46</v>
      </c>
      <c r="I1537" t="s">
        <v>56</v>
      </c>
      <c r="J1537" t="s">
        <v>26</v>
      </c>
      <c r="K1537" s="1">
        <v>39431</v>
      </c>
      <c r="M1537" s="1" t="str">
        <f>IF(ISBLANK(Data[[#This Row],[EndDate]]),"Active","InActive")</f>
        <v>Active</v>
      </c>
      <c r="N1537" t="s">
        <v>57</v>
      </c>
      <c r="O1537" t="s">
        <v>77</v>
      </c>
      <c r="P1537" t="s">
        <v>40</v>
      </c>
      <c r="Q1537" s="2">
        <v>89870</v>
      </c>
    </row>
    <row r="1538" spans="1:17" x14ac:dyDescent="0.2">
      <c r="A1538" s="1">
        <v>43070</v>
      </c>
      <c r="B1538">
        <v>26228</v>
      </c>
      <c r="C1538" t="s">
        <v>80</v>
      </c>
      <c r="D1538" t="s">
        <v>47</v>
      </c>
      <c r="E1538" t="s">
        <v>64</v>
      </c>
      <c r="F1538" s="5">
        <v>55</v>
      </c>
      <c r="G1538" t="str">
        <f>IF(Data[[#This Row],[Age]]&lt;25,"Under 25",IF(Data[[#This Row],[Age]]&lt;35,"25–34",IF(Data[[#This Row],[Age]]&lt;45,"35–44",IF(Data[[#This Row],[Age]]&lt;55,"45–54","55+"))))</f>
        <v>55+</v>
      </c>
      <c r="H1538" t="s">
        <v>31</v>
      </c>
      <c r="I1538" t="s">
        <v>18</v>
      </c>
      <c r="J1538" t="s">
        <v>37</v>
      </c>
      <c r="K1538" s="1">
        <v>39708</v>
      </c>
      <c r="M1538" s="1" t="str">
        <f>IF(ISBLANK(Data[[#This Row],[EndDate]]),"Active","InActive")</f>
        <v>Active</v>
      </c>
      <c r="N1538" t="s">
        <v>20</v>
      </c>
      <c r="O1538" t="s">
        <v>77</v>
      </c>
      <c r="P1538" t="s">
        <v>32</v>
      </c>
      <c r="Q1538" s="2">
        <v>98010</v>
      </c>
    </row>
    <row r="1539" spans="1:17" x14ac:dyDescent="0.2">
      <c r="A1539" s="1">
        <v>42705</v>
      </c>
      <c r="B1539">
        <v>95754</v>
      </c>
      <c r="C1539" t="s">
        <v>80</v>
      </c>
      <c r="D1539" t="s">
        <v>52</v>
      </c>
      <c r="E1539" t="s">
        <v>67</v>
      </c>
      <c r="F1539" s="5">
        <v>56</v>
      </c>
      <c r="G1539" t="str">
        <f>IF(Data[[#This Row],[Age]]&lt;25,"Under 25",IF(Data[[#This Row],[Age]]&lt;35,"25–34",IF(Data[[#This Row],[Age]]&lt;45,"35–44",IF(Data[[#This Row],[Age]]&lt;55,"45–54","55+"))))</f>
        <v>55+</v>
      </c>
      <c r="H1539" t="s">
        <v>17</v>
      </c>
      <c r="I1539" t="s">
        <v>56</v>
      </c>
      <c r="J1539" t="s">
        <v>19</v>
      </c>
      <c r="K1539" s="1">
        <v>38874</v>
      </c>
      <c r="M1539" s="1" t="str">
        <f>IF(ISBLANK(Data[[#This Row],[EndDate]]),"Active","InActive")</f>
        <v>Active</v>
      </c>
      <c r="N1539" t="s">
        <v>57</v>
      </c>
      <c r="O1539" t="s">
        <v>77</v>
      </c>
      <c r="P1539" t="s">
        <v>22</v>
      </c>
      <c r="Q1539" s="2">
        <v>77616</v>
      </c>
    </row>
    <row r="1540" spans="1:17" x14ac:dyDescent="0.2">
      <c r="A1540" s="1">
        <v>43435</v>
      </c>
      <c r="B1540">
        <v>95696</v>
      </c>
      <c r="C1540" t="s">
        <v>79</v>
      </c>
      <c r="D1540" t="s">
        <v>52</v>
      </c>
      <c r="E1540" t="s">
        <v>67</v>
      </c>
      <c r="F1540" s="5">
        <v>56</v>
      </c>
      <c r="G1540" t="str">
        <f>IF(Data[[#This Row],[Age]]&lt;25,"Under 25",IF(Data[[#This Row],[Age]]&lt;35,"25–34",IF(Data[[#This Row],[Age]]&lt;45,"35–44",IF(Data[[#This Row],[Age]]&lt;55,"45–54","55+"))))</f>
        <v>55+</v>
      </c>
      <c r="H1540" t="s">
        <v>34</v>
      </c>
      <c r="I1540" t="s">
        <v>56</v>
      </c>
      <c r="J1540" t="s">
        <v>19</v>
      </c>
      <c r="K1540" s="1">
        <v>32084</v>
      </c>
      <c r="M1540" s="1" t="str">
        <f>IF(ISBLANK(Data[[#This Row],[EndDate]]),"Active","InActive")</f>
        <v>Active</v>
      </c>
      <c r="N1540" t="s">
        <v>57</v>
      </c>
      <c r="O1540" t="s">
        <v>77</v>
      </c>
      <c r="P1540" t="s">
        <v>40</v>
      </c>
      <c r="Q1540" s="2">
        <v>88256</v>
      </c>
    </row>
    <row r="1541" spans="1:17" x14ac:dyDescent="0.2">
      <c r="A1541" s="1">
        <v>42705</v>
      </c>
      <c r="B1541">
        <v>49576</v>
      </c>
      <c r="C1541" t="s">
        <v>79</v>
      </c>
      <c r="D1541" t="s">
        <v>41</v>
      </c>
      <c r="E1541" t="s">
        <v>62</v>
      </c>
      <c r="F1541" s="5">
        <v>56</v>
      </c>
      <c r="G1541" t="str">
        <f>IF(Data[[#This Row],[Age]]&lt;25,"Under 25",IF(Data[[#This Row],[Age]]&lt;35,"25–34",IF(Data[[#This Row],[Age]]&lt;45,"35–44",IF(Data[[#This Row],[Age]]&lt;55,"45–54","55+"))))</f>
        <v>55+</v>
      </c>
      <c r="H1541" t="s">
        <v>34</v>
      </c>
      <c r="I1541" t="s">
        <v>18</v>
      </c>
      <c r="J1541" t="s">
        <v>26</v>
      </c>
      <c r="K1541" s="1">
        <v>41214</v>
      </c>
      <c r="M1541" s="1" t="str">
        <f>IF(ISBLANK(Data[[#This Row],[EndDate]]),"Active","InActive")</f>
        <v>Active</v>
      </c>
      <c r="N1541" t="s">
        <v>20</v>
      </c>
      <c r="O1541" t="s">
        <v>77</v>
      </c>
      <c r="P1541" t="s">
        <v>22</v>
      </c>
      <c r="Q1541" s="2">
        <v>80752</v>
      </c>
    </row>
    <row r="1542" spans="1:17" x14ac:dyDescent="0.2">
      <c r="A1542" s="1">
        <v>43435</v>
      </c>
      <c r="B1542">
        <v>40390</v>
      </c>
      <c r="C1542" t="s">
        <v>79</v>
      </c>
      <c r="D1542" t="s">
        <v>38</v>
      </c>
      <c r="E1542" t="s">
        <v>61</v>
      </c>
      <c r="F1542" s="5">
        <v>56</v>
      </c>
      <c r="G1542" t="str">
        <f>IF(Data[[#This Row],[Age]]&lt;25,"Under 25",IF(Data[[#This Row],[Age]]&lt;35,"25–34",IF(Data[[#This Row],[Age]]&lt;45,"35–44",IF(Data[[#This Row],[Age]]&lt;55,"45–54","55+"))))</f>
        <v>55+</v>
      </c>
      <c r="H1542" t="s">
        <v>17</v>
      </c>
      <c r="I1542" t="s">
        <v>18</v>
      </c>
      <c r="J1542" t="s">
        <v>37</v>
      </c>
      <c r="K1542" s="1">
        <v>41810</v>
      </c>
      <c r="M1542" s="1" t="str">
        <f>IF(ISBLANK(Data[[#This Row],[EndDate]]),"Active","InActive")</f>
        <v>Active</v>
      </c>
      <c r="N1542" t="s">
        <v>20</v>
      </c>
      <c r="O1542" t="s">
        <v>77</v>
      </c>
      <c r="P1542" t="s">
        <v>40</v>
      </c>
      <c r="Q1542" s="2">
        <v>102368</v>
      </c>
    </row>
    <row r="1543" spans="1:17" x14ac:dyDescent="0.2">
      <c r="A1543" s="1">
        <v>42705</v>
      </c>
      <c r="B1543">
        <v>51994</v>
      </c>
      <c r="C1543" t="s">
        <v>80</v>
      </c>
      <c r="D1543" t="s">
        <v>41</v>
      </c>
      <c r="E1543" t="s">
        <v>42</v>
      </c>
      <c r="F1543" s="5">
        <v>56</v>
      </c>
      <c r="G1543" t="str">
        <f>IF(Data[[#This Row],[Age]]&lt;25,"Under 25",IF(Data[[#This Row],[Age]]&lt;35,"25–34",IF(Data[[#This Row],[Age]]&lt;45,"35–44",IF(Data[[#This Row],[Age]]&lt;55,"45–54","55+"))))</f>
        <v>55+</v>
      </c>
      <c r="H1543" t="s">
        <v>34</v>
      </c>
      <c r="I1543" t="s">
        <v>18</v>
      </c>
      <c r="J1543" t="s">
        <v>37</v>
      </c>
      <c r="K1543" s="1">
        <v>38301</v>
      </c>
      <c r="M1543" s="1" t="str">
        <f>IF(ISBLANK(Data[[#This Row],[EndDate]]),"Active","InActive")</f>
        <v>Active</v>
      </c>
      <c r="N1543" t="s">
        <v>20</v>
      </c>
      <c r="O1543" t="s">
        <v>77</v>
      </c>
      <c r="P1543" t="s">
        <v>22</v>
      </c>
      <c r="Q1543" s="2">
        <v>93520</v>
      </c>
    </row>
    <row r="1544" spans="1:17" x14ac:dyDescent="0.2">
      <c r="A1544" s="1">
        <v>43435</v>
      </c>
      <c r="B1544">
        <v>52714</v>
      </c>
      <c r="C1544" t="s">
        <v>80</v>
      </c>
      <c r="D1544" t="s">
        <v>29</v>
      </c>
      <c r="E1544" t="s">
        <v>36</v>
      </c>
      <c r="F1544" s="5">
        <v>56</v>
      </c>
      <c r="G1544" t="str">
        <f>IF(Data[[#This Row],[Age]]&lt;25,"Under 25",IF(Data[[#This Row],[Age]]&lt;35,"25–34",IF(Data[[#This Row],[Age]]&lt;45,"35–44",IF(Data[[#This Row],[Age]]&lt;55,"45–54","55+"))))</f>
        <v>55+</v>
      </c>
      <c r="H1544" t="s">
        <v>59</v>
      </c>
      <c r="I1544" t="s">
        <v>18</v>
      </c>
      <c r="J1544" t="s">
        <v>37</v>
      </c>
      <c r="K1544" s="1">
        <v>41858</v>
      </c>
      <c r="L1544" s="1">
        <v>41978</v>
      </c>
      <c r="M1544" s="1" t="str">
        <f>IF(ISBLANK(Data[[#This Row],[EndDate]]),"Active","InActive")</f>
        <v>InActive</v>
      </c>
      <c r="N1544" t="s">
        <v>20</v>
      </c>
      <c r="O1544" t="s">
        <v>77</v>
      </c>
      <c r="P1544" t="s">
        <v>40</v>
      </c>
      <c r="Q1544" s="2">
        <v>22736</v>
      </c>
    </row>
    <row r="1545" spans="1:17" x14ac:dyDescent="0.2">
      <c r="A1545" s="1">
        <v>42705</v>
      </c>
      <c r="B1545">
        <v>43526</v>
      </c>
      <c r="C1545" t="s">
        <v>80</v>
      </c>
      <c r="D1545" t="s">
        <v>50</v>
      </c>
      <c r="E1545" t="s">
        <v>63</v>
      </c>
      <c r="F1545" s="5">
        <v>56</v>
      </c>
      <c r="G1545" t="str">
        <f>IF(Data[[#This Row],[Age]]&lt;25,"Under 25",IF(Data[[#This Row],[Age]]&lt;35,"25–34",IF(Data[[#This Row],[Age]]&lt;45,"35–44",IF(Data[[#This Row],[Age]]&lt;55,"45–54","55+"))))</f>
        <v>55+</v>
      </c>
      <c r="H1545" t="s">
        <v>59</v>
      </c>
      <c r="I1545" t="s">
        <v>56</v>
      </c>
      <c r="J1545" t="s">
        <v>37</v>
      </c>
      <c r="K1545" s="1">
        <v>39564</v>
      </c>
      <c r="M1545" s="1" t="str">
        <f>IF(ISBLANK(Data[[#This Row],[EndDate]]),"Active","InActive")</f>
        <v>Active</v>
      </c>
      <c r="N1545" t="s">
        <v>57</v>
      </c>
      <c r="O1545" t="s">
        <v>77</v>
      </c>
      <c r="P1545" t="s">
        <v>22</v>
      </c>
      <c r="Q1545" s="2">
        <v>40768</v>
      </c>
    </row>
    <row r="1546" spans="1:17" x14ac:dyDescent="0.2">
      <c r="A1546" s="1">
        <v>42705</v>
      </c>
      <c r="B1546">
        <v>50470</v>
      </c>
      <c r="C1546" t="s">
        <v>79</v>
      </c>
      <c r="D1546" t="s">
        <v>47</v>
      </c>
      <c r="E1546" t="s">
        <v>73</v>
      </c>
      <c r="F1546" s="5">
        <v>56</v>
      </c>
      <c r="G1546" t="str">
        <f>IF(Data[[#This Row],[Age]]&lt;25,"Under 25",IF(Data[[#This Row],[Age]]&lt;35,"25–34",IF(Data[[#This Row],[Age]]&lt;45,"35–44",IF(Data[[#This Row],[Age]]&lt;55,"45–54","55+"))))</f>
        <v>55+</v>
      </c>
      <c r="H1546" t="s">
        <v>31</v>
      </c>
      <c r="I1546" t="s">
        <v>56</v>
      </c>
      <c r="J1546" t="s">
        <v>37</v>
      </c>
      <c r="K1546" s="1">
        <v>27354</v>
      </c>
      <c r="M1546" s="1" t="str">
        <f>IF(ISBLANK(Data[[#This Row],[EndDate]]),"Active","InActive")</f>
        <v>Active</v>
      </c>
      <c r="N1546" t="s">
        <v>57</v>
      </c>
      <c r="O1546" t="s">
        <v>77</v>
      </c>
      <c r="P1546" t="s">
        <v>22</v>
      </c>
      <c r="Q1546" s="2">
        <v>90832</v>
      </c>
    </row>
    <row r="1547" spans="1:17" x14ac:dyDescent="0.2">
      <c r="A1547" s="1">
        <v>42705</v>
      </c>
      <c r="B1547">
        <v>92358</v>
      </c>
      <c r="C1547" t="s">
        <v>79</v>
      </c>
      <c r="D1547" t="s">
        <v>29</v>
      </c>
      <c r="E1547" t="s">
        <v>36</v>
      </c>
      <c r="F1547" s="5">
        <v>56</v>
      </c>
      <c r="G1547" t="str">
        <f>IF(Data[[#This Row],[Age]]&lt;25,"Under 25",IF(Data[[#This Row],[Age]]&lt;35,"25–34",IF(Data[[#This Row],[Age]]&lt;45,"35–44",IF(Data[[#This Row],[Age]]&lt;55,"45–54","55+"))))</f>
        <v>55+</v>
      </c>
      <c r="H1547" t="s">
        <v>59</v>
      </c>
      <c r="I1547" t="s">
        <v>56</v>
      </c>
      <c r="J1547" t="s">
        <v>19</v>
      </c>
      <c r="K1547" s="1">
        <v>37390</v>
      </c>
      <c r="M1547" s="1" t="str">
        <f>IF(ISBLANK(Data[[#This Row],[EndDate]]),"Active","InActive")</f>
        <v>Active</v>
      </c>
      <c r="N1547" t="s">
        <v>57</v>
      </c>
      <c r="O1547" t="s">
        <v>77</v>
      </c>
      <c r="P1547" t="s">
        <v>22</v>
      </c>
      <c r="Q1547" s="2">
        <v>98896</v>
      </c>
    </row>
    <row r="1548" spans="1:17" x14ac:dyDescent="0.2">
      <c r="A1548" s="1">
        <v>42705</v>
      </c>
      <c r="B1548">
        <v>109894</v>
      </c>
      <c r="C1548" t="s">
        <v>79</v>
      </c>
      <c r="D1548" t="s">
        <v>47</v>
      </c>
      <c r="E1548" t="s">
        <v>64</v>
      </c>
      <c r="F1548" s="5">
        <v>56</v>
      </c>
      <c r="G1548" t="str">
        <f>IF(Data[[#This Row],[Age]]&lt;25,"Under 25",IF(Data[[#This Row],[Age]]&lt;35,"25–34",IF(Data[[#This Row],[Age]]&lt;45,"35–44",IF(Data[[#This Row],[Age]]&lt;55,"45–54","55+"))))</f>
        <v>55+</v>
      </c>
      <c r="H1548" t="s">
        <v>25</v>
      </c>
      <c r="I1548" t="s">
        <v>56</v>
      </c>
      <c r="J1548" t="s">
        <v>35</v>
      </c>
      <c r="K1548" s="1">
        <v>40730</v>
      </c>
      <c r="L1548" s="1">
        <v>40790</v>
      </c>
      <c r="M1548" s="1" t="str">
        <f>IF(ISBLANK(Data[[#This Row],[EndDate]]),"Active","InActive")</f>
        <v>InActive</v>
      </c>
      <c r="N1548" t="s">
        <v>57</v>
      </c>
      <c r="O1548" t="s">
        <v>77</v>
      </c>
      <c r="P1548" t="s">
        <v>22</v>
      </c>
      <c r="Q1548" s="2">
        <v>51968</v>
      </c>
    </row>
    <row r="1549" spans="1:17" x14ac:dyDescent="0.2">
      <c r="A1549" s="1">
        <v>43070</v>
      </c>
      <c r="B1549">
        <v>16678</v>
      </c>
      <c r="C1549" t="s">
        <v>80</v>
      </c>
      <c r="D1549" t="s">
        <v>52</v>
      </c>
      <c r="E1549" t="s">
        <v>67</v>
      </c>
      <c r="F1549" s="5">
        <v>56</v>
      </c>
      <c r="G1549" t="str">
        <f>IF(Data[[#This Row],[Age]]&lt;25,"Under 25",IF(Data[[#This Row],[Age]]&lt;35,"25–34",IF(Data[[#This Row],[Age]]&lt;45,"35–44",IF(Data[[#This Row],[Age]]&lt;55,"45–54","55+"))))</f>
        <v>55+</v>
      </c>
      <c r="H1549" t="s">
        <v>49</v>
      </c>
      <c r="I1549" t="s">
        <v>56</v>
      </c>
      <c r="J1549" t="s">
        <v>37</v>
      </c>
      <c r="K1549" s="1">
        <v>41067</v>
      </c>
      <c r="M1549" s="1" t="str">
        <f>IF(ISBLANK(Data[[#This Row],[EndDate]]),"Active","InActive")</f>
        <v>Active</v>
      </c>
      <c r="N1549" t="s">
        <v>57</v>
      </c>
      <c r="O1549" t="s">
        <v>77</v>
      </c>
      <c r="P1549" t="s">
        <v>32</v>
      </c>
      <c r="Q1549" s="2">
        <v>103040</v>
      </c>
    </row>
    <row r="1550" spans="1:17" x14ac:dyDescent="0.2">
      <c r="A1550" s="1">
        <v>43070</v>
      </c>
      <c r="B1550">
        <v>40472</v>
      </c>
      <c r="C1550" t="s">
        <v>79</v>
      </c>
      <c r="D1550" t="s">
        <v>47</v>
      </c>
      <c r="E1550" t="s">
        <v>73</v>
      </c>
      <c r="F1550" s="5">
        <v>56</v>
      </c>
      <c r="G1550" t="str">
        <f>IF(Data[[#This Row],[Age]]&lt;25,"Under 25",IF(Data[[#This Row],[Age]]&lt;35,"25–34",IF(Data[[#This Row],[Age]]&lt;45,"35–44",IF(Data[[#This Row],[Age]]&lt;55,"45–54","55+"))))</f>
        <v>55+</v>
      </c>
      <c r="H1550" t="s">
        <v>34</v>
      </c>
      <c r="I1550" t="s">
        <v>56</v>
      </c>
      <c r="J1550" t="s">
        <v>37</v>
      </c>
      <c r="K1550" s="1">
        <v>38490</v>
      </c>
      <c r="M1550" s="1" t="str">
        <f>IF(ISBLANK(Data[[#This Row],[EndDate]]),"Active","InActive")</f>
        <v>Active</v>
      </c>
      <c r="N1550" t="s">
        <v>57</v>
      </c>
      <c r="O1550" t="s">
        <v>77</v>
      </c>
      <c r="P1550" t="s">
        <v>32</v>
      </c>
      <c r="Q1550" s="2">
        <v>33712</v>
      </c>
    </row>
    <row r="1551" spans="1:17" x14ac:dyDescent="0.2">
      <c r="A1551" s="1">
        <v>43070</v>
      </c>
      <c r="B1551">
        <v>50278</v>
      </c>
      <c r="C1551" t="s">
        <v>79</v>
      </c>
      <c r="D1551" t="s">
        <v>52</v>
      </c>
      <c r="E1551" t="s">
        <v>53</v>
      </c>
      <c r="F1551" s="5">
        <v>56</v>
      </c>
      <c r="G1551" t="str">
        <f>IF(Data[[#This Row],[Age]]&lt;25,"Under 25",IF(Data[[#This Row],[Age]]&lt;35,"25–34",IF(Data[[#This Row],[Age]]&lt;45,"35–44",IF(Data[[#This Row],[Age]]&lt;55,"45–54","55+"))))</f>
        <v>55+</v>
      </c>
      <c r="H1551" t="s">
        <v>25</v>
      </c>
      <c r="I1551" t="s">
        <v>56</v>
      </c>
      <c r="J1551" t="s">
        <v>37</v>
      </c>
      <c r="K1551" s="1">
        <v>36812</v>
      </c>
      <c r="M1551" s="1" t="str">
        <f>IF(ISBLANK(Data[[#This Row],[EndDate]]),"Active","InActive")</f>
        <v>Active</v>
      </c>
      <c r="N1551" t="s">
        <v>57</v>
      </c>
      <c r="O1551" t="s">
        <v>77</v>
      </c>
      <c r="P1551" t="s">
        <v>32</v>
      </c>
      <c r="Q1551" s="2">
        <v>19264</v>
      </c>
    </row>
    <row r="1552" spans="1:17" x14ac:dyDescent="0.2">
      <c r="A1552" s="1">
        <v>43070</v>
      </c>
      <c r="B1552">
        <v>50884</v>
      </c>
      <c r="C1552" t="s">
        <v>79</v>
      </c>
      <c r="D1552" t="s">
        <v>27</v>
      </c>
      <c r="E1552" t="s">
        <v>74</v>
      </c>
      <c r="F1552" s="5">
        <v>56</v>
      </c>
      <c r="G1552" t="str">
        <f>IF(Data[[#This Row],[Age]]&lt;25,"Under 25",IF(Data[[#This Row],[Age]]&lt;35,"25–34",IF(Data[[#This Row],[Age]]&lt;45,"35–44",IF(Data[[#This Row],[Age]]&lt;55,"45–54","55+"))))</f>
        <v>55+</v>
      </c>
      <c r="H1552" t="s">
        <v>34</v>
      </c>
      <c r="I1552" t="s">
        <v>56</v>
      </c>
      <c r="J1552" t="s">
        <v>37</v>
      </c>
      <c r="K1552" s="1">
        <v>38457</v>
      </c>
      <c r="M1552" s="1" t="str">
        <f>IF(ISBLANK(Data[[#This Row],[EndDate]]),"Active","InActive")</f>
        <v>Active</v>
      </c>
      <c r="N1552" t="s">
        <v>57</v>
      </c>
      <c r="O1552" t="s">
        <v>77</v>
      </c>
      <c r="P1552" t="s">
        <v>32</v>
      </c>
      <c r="Q1552" s="2">
        <v>108080</v>
      </c>
    </row>
    <row r="1553" spans="1:17" x14ac:dyDescent="0.2">
      <c r="A1553" s="1">
        <v>43070</v>
      </c>
      <c r="B1553">
        <v>51916</v>
      </c>
      <c r="C1553" t="s">
        <v>79</v>
      </c>
      <c r="D1553" t="s">
        <v>29</v>
      </c>
      <c r="E1553" t="s">
        <v>36</v>
      </c>
      <c r="F1553" s="5">
        <v>56</v>
      </c>
      <c r="G1553" t="str">
        <f>IF(Data[[#This Row],[Age]]&lt;25,"Under 25",IF(Data[[#This Row],[Age]]&lt;35,"25–34",IF(Data[[#This Row],[Age]]&lt;45,"35–44",IF(Data[[#This Row],[Age]]&lt;55,"45–54","55+"))))</f>
        <v>55+</v>
      </c>
      <c r="H1553" t="s">
        <v>59</v>
      </c>
      <c r="I1553" t="s">
        <v>56</v>
      </c>
      <c r="J1553" t="s">
        <v>35</v>
      </c>
      <c r="K1553" s="1">
        <v>37754</v>
      </c>
      <c r="M1553" s="1" t="str">
        <f>IF(ISBLANK(Data[[#This Row],[EndDate]]),"Active","InActive")</f>
        <v>Active</v>
      </c>
      <c r="N1553" t="s">
        <v>57</v>
      </c>
      <c r="O1553" t="s">
        <v>77</v>
      </c>
      <c r="P1553" t="s">
        <v>32</v>
      </c>
      <c r="Q1553" s="2">
        <v>11984</v>
      </c>
    </row>
    <row r="1554" spans="1:17" x14ac:dyDescent="0.2">
      <c r="A1554" s="1">
        <v>43070</v>
      </c>
      <c r="B1554">
        <v>52566</v>
      </c>
      <c r="C1554" t="s">
        <v>80</v>
      </c>
      <c r="D1554" t="s">
        <v>15</v>
      </c>
      <c r="E1554" t="s">
        <v>58</v>
      </c>
      <c r="F1554" s="5">
        <v>56</v>
      </c>
      <c r="G1554" t="str">
        <f>IF(Data[[#This Row],[Age]]&lt;25,"Under 25",IF(Data[[#This Row],[Age]]&lt;35,"25–34",IF(Data[[#This Row],[Age]]&lt;45,"35–44",IF(Data[[#This Row],[Age]]&lt;55,"45–54","55+"))))</f>
        <v>55+</v>
      </c>
      <c r="H1554" t="s">
        <v>46</v>
      </c>
      <c r="I1554" t="s">
        <v>56</v>
      </c>
      <c r="J1554" t="s">
        <v>35</v>
      </c>
      <c r="K1554" s="1">
        <v>40079</v>
      </c>
      <c r="M1554" s="1" t="str">
        <f>IF(ISBLANK(Data[[#This Row],[EndDate]]),"Active","InActive")</f>
        <v>Active</v>
      </c>
      <c r="N1554" t="s">
        <v>57</v>
      </c>
      <c r="O1554" t="s">
        <v>77</v>
      </c>
      <c r="P1554" t="s">
        <v>32</v>
      </c>
      <c r="Q1554" s="2">
        <v>16128</v>
      </c>
    </row>
    <row r="1555" spans="1:17" x14ac:dyDescent="0.2">
      <c r="A1555" s="1">
        <v>43435</v>
      </c>
      <c r="B1555">
        <v>40434</v>
      </c>
      <c r="C1555" t="s">
        <v>80</v>
      </c>
      <c r="D1555" t="s">
        <v>50</v>
      </c>
      <c r="E1555" t="s">
        <v>51</v>
      </c>
      <c r="F1555" s="5">
        <v>56</v>
      </c>
      <c r="G1555" t="str">
        <f>IF(Data[[#This Row],[Age]]&lt;25,"Under 25",IF(Data[[#This Row],[Age]]&lt;35,"25–34",IF(Data[[#This Row],[Age]]&lt;45,"35–44",IF(Data[[#This Row],[Age]]&lt;55,"45–54","55+"))))</f>
        <v>55+</v>
      </c>
      <c r="H1555" t="s">
        <v>34</v>
      </c>
      <c r="I1555" t="s">
        <v>56</v>
      </c>
      <c r="J1555" t="s">
        <v>37</v>
      </c>
      <c r="K1555" s="1">
        <v>41137</v>
      </c>
      <c r="M1555" s="1" t="str">
        <f>IF(ISBLANK(Data[[#This Row],[EndDate]]),"Active","InActive")</f>
        <v>Active</v>
      </c>
      <c r="N1555" t="s">
        <v>57</v>
      </c>
      <c r="O1555" t="s">
        <v>77</v>
      </c>
      <c r="P1555" t="s">
        <v>40</v>
      </c>
      <c r="Q1555" s="2">
        <v>102816</v>
      </c>
    </row>
    <row r="1556" spans="1:17" x14ac:dyDescent="0.2">
      <c r="A1556" s="1">
        <v>43435</v>
      </c>
      <c r="B1556">
        <v>52826</v>
      </c>
      <c r="C1556" t="s">
        <v>80</v>
      </c>
      <c r="D1556" t="s">
        <v>27</v>
      </c>
      <c r="E1556" t="s">
        <v>28</v>
      </c>
      <c r="F1556" s="5">
        <v>56</v>
      </c>
      <c r="G1556" t="str">
        <f>IF(Data[[#This Row],[Age]]&lt;25,"Under 25",IF(Data[[#This Row],[Age]]&lt;35,"25–34",IF(Data[[#This Row],[Age]]&lt;45,"35–44",IF(Data[[#This Row],[Age]]&lt;55,"45–54","55+"))))</f>
        <v>55+</v>
      </c>
      <c r="H1556" t="s">
        <v>59</v>
      </c>
      <c r="I1556" t="s">
        <v>56</v>
      </c>
      <c r="J1556" t="s">
        <v>37</v>
      </c>
      <c r="K1556" s="1">
        <v>38777</v>
      </c>
      <c r="M1556" s="1" t="str">
        <f>IF(ISBLANK(Data[[#This Row],[EndDate]]),"Active","InActive")</f>
        <v>Active</v>
      </c>
      <c r="N1556" t="s">
        <v>57</v>
      </c>
      <c r="O1556" t="s">
        <v>77</v>
      </c>
      <c r="P1556" t="s">
        <v>40</v>
      </c>
      <c r="Q1556" s="2">
        <v>38976</v>
      </c>
    </row>
    <row r="1557" spans="1:17" x14ac:dyDescent="0.2">
      <c r="A1557" s="1">
        <v>43435</v>
      </c>
      <c r="B1557">
        <v>55648</v>
      </c>
      <c r="C1557" t="s">
        <v>80</v>
      </c>
      <c r="D1557" t="s">
        <v>52</v>
      </c>
      <c r="E1557" t="s">
        <v>53</v>
      </c>
      <c r="F1557" s="5">
        <v>56</v>
      </c>
      <c r="G1557" t="str">
        <f>IF(Data[[#This Row],[Age]]&lt;25,"Under 25",IF(Data[[#This Row],[Age]]&lt;35,"25–34",IF(Data[[#This Row],[Age]]&lt;45,"35–44",IF(Data[[#This Row],[Age]]&lt;55,"45–54","55+"))))</f>
        <v>55+</v>
      </c>
      <c r="H1557" t="s">
        <v>46</v>
      </c>
      <c r="I1557" t="s">
        <v>56</v>
      </c>
      <c r="J1557" t="s">
        <v>37</v>
      </c>
      <c r="K1557" s="1">
        <v>38182</v>
      </c>
      <c r="M1557" s="1" t="str">
        <f>IF(ISBLANK(Data[[#This Row],[EndDate]]),"Active","InActive")</f>
        <v>Active</v>
      </c>
      <c r="N1557" t="s">
        <v>57</v>
      </c>
      <c r="O1557" t="s">
        <v>77</v>
      </c>
      <c r="P1557" t="s">
        <v>40</v>
      </c>
      <c r="Q1557" s="2">
        <v>35616</v>
      </c>
    </row>
    <row r="1558" spans="1:17" x14ac:dyDescent="0.2">
      <c r="A1558" s="1">
        <v>43435</v>
      </c>
      <c r="B1558">
        <v>56296</v>
      </c>
      <c r="C1558" t="s">
        <v>80</v>
      </c>
      <c r="D1558" t="s">
        <v>27</v>
      </c>
      <c r="E1558" t="s">
        <v>28</v>
      </c>
      <c r="F1558" s="5">
        <v>56</v>
      </c>
      <c r="G1558" t="str">
        <f>IF(Data[[#This Row],[Age]]&lt;25,"Under 25",IF(Data[[#This Row],[Age]]&lt;35,"25–34",IF(Data[[#This Row],[Age]]&lt;45,"35–44",IF(Data[[#This Row],[Age]]&lt;55,"45–54","55+"))))</f>
        <v>55+</v>
      </c>
      <c r="H1558" t="s">
        <v>31</v>
      </c>
      <c r="I1558" t="s">
        <v>56</v>
      </c>
      <c r="J1558" t="s">
        <v>35</v>
      </c>
      <c r="K1558" s="1">
        <v>40263</v>
      </c>
      <c r="M1558" s="1" t="str">
        <f>IF(ISBLANK(Data[[#This Row],[EndDate]]),"Active","InActive")</f>
        <v>Active</v>
      </c>
      <c r="N1558" t="s">
        <v>57</v>
      </c>
      <c r="O1558" t="s">
        <v>77</v>
      </c>
      <c r="P1558" t="s">
        <v>40</v>
      </c>
      <c r="Q1558" s="2">
        <v>49616</v>
      </c>
    </row>
    <row r="1559" spans="1:17" x14ac:dyDescent="0.2">
      <c r="A1559" s="1">
        <v>42705</v>
      </c>
      <c r="B1559">
        <v>100140</v>
      </c>
      <c r="C1559" t="s">
        <v>80</v>
      </c>
      <c r="D1559" t="s">
        <v>27</v>
      </c>
      <c r="E1559" t="s">
        <v>72</v>
      </c>
      <c r="F1559" s="5">
        <v>56</v>
      </c>
      <c r="G1559" t="str">
        <f>IF(Data[[#This Row],[Age]]&lt;25,"Under 25",IF(Data[[#This Row],[Age]]&lt;35,"25–34",IF(Data[[#This Row],[Age]]&lt;45,"35–44",IF(Data[[#This Row],[Age]]&lt;55,"45–54","55+"))))</f>
        <v>55+</v>
      </c>
      <c r="H1559" t="s">
        <v>31</v>
      </c>
      <c r="I1559" t="s">
        <v>18</v>
      </c>
      <c r="J1559" t="s">
        <v>26</v>
      </c>
      <c r="K1559" s="1">
        <v>41223</v>
      </c>
      <c r="M1559" s="1" t="str">
        <f>IF(ISBLANK(Data[[#This Row],[EndDate]]),"Active","InActive")</f>
        <v>Active</v>
      </c>
      <c r="N1559" t="s">
        <v>20</v>
      </c>
      <c r="O1559" t="s">
        <v>77</v>
      </c>
      <c r="P1559" t="s">
        <v>22</v>
      </c>
      <c r="Q1559" s="2">
        <v>97440</v>
      </c>
    </row>
    <row r="1560" spans="1:17" x14ac:dyDescent="0.2">
      <c r="A1560" s="1">
        <v>43070</v>
      </c>
      <c r="B1560">
        <v>95754</v>
      </c>
      <c r="C1560" t="s">
        <v>80</v>
      </c>
      <c r="D1560" t="s">
        <v>52</v>
      </c>
      <c r="E1560" t="s">
        <v>67</v>
      </c>
      <c r="F1560" s="5">
        <v>57</v>
      </c>
      <c r="G1560" t="str">
        <f>IF(Data[[#This Row],[Age]]&lt;25,"Under 25",IF(Data[[#This Row],[Age]]&lt;35,"25–34",IF(Data[[#This Row],[Age]]&lt;45,"35–44",IF(Data[[#This Row],[Age]]&lt;55,"45–54","55+"))))</f>
        <v>55+</v>
      </c>
      <c r="H1560" t="s">
        <v>17</v>
      </c>
      <c r="I1560" t="s">
        <v>56</v>
      </c>
      <c r="J1560" t="s">
        <v>19</v>
      </c>
      <c r="K1560" s="1">
        <v>38874</v>
      </c>
      <c r="M1560" s="1" t="str">
        <f>IF(ISBLANK(Data[[#This Row],[EndDate]]),"Active","InActive")</f>
        <v>Active</v>
      </c>
      <c r="N1560" t="s">
        <v>57</v>
      </c>
      <c r="O1560" t="s">
        <v>77</v>
      </c>
      <c r="P1560" t="s">
        <v>32</v>
      </c>
      <c r="Q1560" s="2">
        <v>89034</v>
      </c>
    </row>
    <row r="1561" spans="1:17" x14ac:dyDescent="0.2">
      <c r="A1561" s="1">
        <v>43070</v>
      </c>
      <c r="B1561">
        <v>49576</v>
      </c>
      <c r="C1561" t="s">
        <v>79</v>
      </c>
      <c r="D1561" t="s">
        <v>41</v>
      </c>
      <c r="E1561" t="s">
        <v>62</v>
      </c>
      <c r="F1561" s="5">
        <v>57</v>
      </c>
      <c r="G1561" t="str">
        <f>IF(Data[[#This Row],[Age]]&lt;25,"Under 25",IF(Data[[#This Row],[Age]]&lt;35,"25–34",IF(Data[[#This Row],[Age]]&lt;45,"35–44",IF(Data[[#This Row],[Age]]&lt;55,"45–54","55+"))))</f>
        <v>55+</v>
      </c>
      <c r="H1561" t="s">
        <v>34</v>
      </c>
      <c r="I1561" t="s">
        <v>18</v>
      </c>
      <c r="J1561" t="s">
        <v>26</v>
      </c>
      <c r="K1561" s="1">
        <v>41214</v>
      </c>
      <c r="M1561" s="1" t="str">
        <f>IF(ISBLANK(Data[[#This Row],[EndDate]]),"Active","InActive")</f>
        <v>Active</v>
      </c>
      <c r="N1561" t="s">
        <v>20</v>
      </c>
      <c r="O1561" t="s">
        <v>77</v>
      </c>
      <c r="P1561" t="s">
        <v>32</v>
      </c>
      <c r="Q1561" s="2">
        <v>88692</v>
      </c>
    </row>
    <row r="1562" spans="1:17" x14ac:dyDescent="0.2">
      <c r="A1562" s="1">
        <v>42705</v>
      </c>
      <c r="B1562">
        <v>42106</v>
      </c>
      <c r="C1562" t="s">
        <v>80</v>
      </c>
      <c r="D1562" t="s">
        <v>41</v>
      </c>
      <c r="E1562" t="s">
        <v>62</v>
      </c>
      <c r="F1562" s="5">
        <v>57</v>
      </c>
      <c r="G1562" t="str">
        <f>IF(Data[[#This Row],[Age]]&lt;25,"Under 25",IF(Data[[#This Row],[Age]]&lt;35,"25–34",IF(Data[[#This Row],[Age]]&lt;45,"35–44",IF(Data[[#This Row],[Age]]&lt;55,"45–54","55+"))))</f>
        <v>55+</v>
      </c>
      <c r="H1562" t="s">
        <v>46</v>
      </c>
      <c r="I1562" t="s">
        <v>18</v>
      </c>
      <c r="J1562" t="s">
        <v>35</v>
      </c>
      <c r="K1562" s="1">
        <v>41144</v>
      </c>
      <c r="M1562" s="1" t="str">
        <f>IF(ISBLANK(Data[[#This Row],[EndDate]]),"Active","InActive")</f>
        <v>Active</v>
      </c>
      <c r="N1562" t="s">
        <v>20</v>
      </c>
      <c r="O1562" t="s">
        <v>77</v>
      </c>
      <c r="P1562" t="s">
        <v>22</v>
      </c>
      <c r="Q1562" s="2">
        <v>16074</v>
      </c>
    </row>
    <row r="1563" spans="1:17" x14ac:dyDescent="0.2">
      <c r="A1563" s="1">
        <v>43070</v>
      </c>
      <c r="B1563">
        <v>51994</v>
      </c>
      <c r="C1563" t="s">
        <v>80</v>
      </c>
      <c r="D1563" t="s">
        <v>41</v>
      </c>
      <c r="E1563" t="s">
        <v>42</v>
      </c>
      <c r="F1563" s="5">
        <v>57</v>
      </c>
      <c r="G1563" t="str">
        <f>IF(Data[[#This Row],[Age]]&lt;25,"Under 25",IF(Data[[#This Row],[Age]]&lt;35,"25–34",IF(Data[[#This Row],[Age]]&lt;45,"35–44",IF(Data[[#This Row],[Age]]&lt;55,"45–54","55+"))))</f>
        <v>55+</v>
      </c>
      <c r="H1563" t="s">
        <v>34</v>
      </c>
      <c r="I1563" t="s">
        <v>18</v>
      </c>
      <c r="J1563" t="s">
        <v>37</v>
      </c>
      <c r="K1563" s="1">
        <v>38301</v>
      </c>
      <c r="M1563" s="1" t="str">
        <f>IF(ISBLANK(Data[[#This Row],[EndDate]]),"Active","InActive")</f>
        <v>Active</v>
      </c>
      <c r="N1563" t="s">
        <v>20</v>
      </c>
      <c r="O1563" t="s">
        <v>77</v>
      </c>
      <c r="P1563" t="s">
        <v>32</v>
      </c>
      <c r="Q1563" s="2">
        <v>42750</v>
      </c>
    </row>
    <row r="1564" spans="1:17" x14ac:dyDescent="0.2">
      <c r="A1564" s="1">
        <v>43435</v>
      </c>
      <c r="B1564">
        <v>44060</v>
      </c>
      <c r="C1564" t="s">
        <v>80</v>
      </c>
      <c r="D1564" t="s">
        <v>47</v>
      </c>
      <c r="E1564" t="s">
        <v>73</v>
      </c>
      <c r="F1564" s="5">
        <v>57</v>
      </c>
      <c r="G1564" t="str">
        <f>IF(Data[[#This Row],[Age]]&lt;25,"Under 25",IF(Data[[#This Row],[Age]]&lt;35,"25–34",IF(Data[[#This Row],[Age]]&lt;45,"35–44",IF(Data[[#This Row],[Age]]&lt;55,"45–54","55+"))))</f>
        <v>55+</v>
      </c>
      <c r="H1564" t="s">
        <v>59</v>
      </c>
      <c r="I1564" t="s">
        <v>18</v>
      </c>
      <c r="J1564" t="s">
        <v>37</v>
      </c>
      <c r="K1564" s="1">
        <v>41853</v>
      </c>
      <c r="M1564" s="1" t="str">
        <f>IF(ISBLANK(Data[[#This Row],[EndDate]]),"Active","InActive")</f>
        <v>Active</v>
      </c>
      <c r="N1564" t="s">
        <v>20</v>
      </c>
      <c r="O1564" t="s">
        <v>77</v>
      </c>
      <c r="P1564" t="s">
        <v>40</v>
      </c>
      <c r="Q1564" s="2">
        <v>112860</v>
      </c>
    </row>
    <row r="1565" spans="1:17" x14ac:dyDescent="0.2">
      <c r="A1565" s="1">
        <v>42705</v>
      </c>
      <c r="B1565">
        <v>42892</v>
      </c>
      <c r="C1565" t="s">
        <v>80</v>
      </c>
      <c r="D1565" t="s">
        <v>15</v>
      </c>
      <c r="E1565" t="s">
        <v>70</v>
      </c>
      <c r="F1565" s="5">
        <v>57</v>
      </c>
      <c r="G1565" t="str">
        <f>IF(Data[[#This Row],[Age]]&lt;25,"Under 25",IF(Data[[#This Row],[Age]]&lt;35,"25–34",IF(Data[[#This Row],[Age]]&lt;45,"35–44",IF(Data[[#This Row],[Age]]&lt;55,"45–54","55+"))))</f>
        <v>55+</v>
      </c>
      <c r="H1565" t="s">
        <v>17</v>
      </c>
      <c r="I1565" t="s">
        <v>56</v>
      </c>
      <c r="J1565" t="s">
        <v>35</v>
      </c>
      <c r="K1565" s="1">
        <v>39252</v>
      </c>
      <c r="M1565" s="1" t="str">
        <f>IF(ISBLANK(Data[[#This Row],[EndDate]]),"Active","InActive")</f>
        <v>Active</v>
      </c>
      <c r="N1565" t="s">
        <v>57</v>
      </c>
      <c r="O1565" t="s">
        <v>77</v>
      </c>
      <c r="P1565" t="s">
        <v>22</v>
      </c>
      <c r="Q1565" s="2">
        <v>20748</v>
      </c>
    </row>
    <row r="1566" spans="1:17" x14ac:dyDescent="0.2">
      <c r="A1566" s="1">
        <v>42705</v>
      </c>
      <c r="B1566">
        <v>50438</v>
      </c>
      <c r="C1566" t="s">
        <v>79</v>
      </c>
      <c r="D1566" t="s">
        <v>38</v>
      </c>
      <c r="E1566" t="s">
        <v>61</v>
      </c>
      <c r="F1566" s="5">
        <v>57</v>
      </c>
      <c r="G1566" t="str">
        <f>IF(Data[[#This Row],[Age]]&lt;25,"Under 25",IF(Data[[#This Row],[Age]]&lt;35,"25–34",IF(Data[[#This Row],[Age]]&lt;45,"35–44",IF(Data[[#This Row],[Age]]&lt;55,"45–54","55+"))))</f>
        <v>55+</v>
      </c>
      <c r="H1566" t="s">
        <v>17</v>
      </c>
      <c r="I1566" t="s">
        <v>56</v>
      </c>
      <c r="J1566" t="s">
        <v>26</v>
      </c>
      <c r="K1566" s="1">
        <v>38440</v>
      </c>
      <c r="M1566" s="1" t="str">
        <f>IF(ISBLANK(Data[[#This Row],[EndDate]]),"Active","InActive")</f>
        <v>Active</v>
      </c>
      <c r="N1566" t="s">
        <v>57</v>
      </c>
      <c r="O1566" t="s">
        <v>77</v>
      </c>
      <c r="P1566" t="s">
        <v>22</v>
      </c>
      <c r="Q1566" s="2">
        <v>56886</v>
      </c>
    </row>
    <row r="1567" spans="1:17" x14ac:dyDescent="0.2">
      <c r="A1567" s="1">
        <v>42705</v>
      </c>
      <c r="B1567">
        <v>92166</v>
      </c>
      <c r="C1567" t="s">
        <v>79</v>
      </c>
      <c r="D1567" t="s">
        <v>15</v>
      </c>
      <c r="E1567" t="s">
        <v>58</v>
      </c>
      <c r="F1567" s="5">
        <v>57</v>
      </c>
      <c r="G1567" t="str">
        <f>IF(Data[[#This Row],[Age]]&lt;25,"Under 25",IF(Data[[#This Row],[Age]]&lt;35,"25–34",IF(Data[[#This Row],[Age]]&lt;45,"35–44",IF(Data[[#This Row],[Age]]&lt;55,"45–54","55+"))))</f>
        <v>55+</v>
      </c>
      <c r="H1567" t="s">
        <v>31</v>
      </c>
      <c r="I1567" t="s">
        <v>56</v>
      </c>
      <c r="J1567" t="s">
        <v>19</v>
      </c>
      <c r="K1567" s="1">
        <v>38734</v>
      </c>
      <c r="M1567" s="1" t="str">
        <f>IF(ISBLANK(Data[[#This Row],[EndDate]]),"Active","InActive")</f>
        <v>Active</v>
      </c>
      <c r="N1567" t="s">
        <v>57</v>
      </c>
      <c r="O1567" t="s">
        <v>77</v>
      </c>
      <c r="P1567" t="s">
        <v>22</v>
      </c>
      <c r="Q1567" s="2">
        <v>95304</v>
      </c>
    </row>
    <row r="1568" spans="1:17" x14ac:dyDescent="0.2">
      <c r="A1568" s="1">
        <v>43070</v>
      </c>
      <c r="B1568">
        <v>43526</v>
      </c>
      <c r="C1568" t="s">
        <v>80</v>
      </c>
      <c r="D1568" t="s">
        <v>50</v>
      </c>
      <c r="E1568" t="s">
        <v>63</v>
      </c>
      <c r="F1568" s="5">
        <v>57</v>
      </c>
      <c r="G1568" t="str">
        <f>IF(Data[[#This Row],[Age]]&lt;25,"Under 25",IF(Data[[#This Row],[Age]]&lt;35,"25–34",IF(Data[[#This Row],[Age]]&lt;45,"35–44",IF(Data[[#This Row],[Age]]&lt;55,"45–54","55+"))))</f>
        <v>55+</v>
      </c>
      <c r="H1568" t="s">
        <v>59</v>
      </c>
      <c r="I1568" t="s">
        <v>56</v>
      </c>
      <c r="J1568" t="s">
        <v>37</v>
      </c>
      <c r="K1568" s="1">
        <v>39564</v>
      </c>
      <c r="M1568" s="1" t="str">
        <f>IF(ISBLANK(Data[[#This Row],[EndDate]]),"Active","InActive")</f>
        <v>Active</v>
      </c>
      <c r="N1568" t="s">
        <v>57</v>
      </c>
      <c r="O1568" t="s">
        <v>77</v>
      </c>
      <c r="P1568" t="s">
        <v>32</v>
      </c>
      <c r="Q1568" s="2">
        <v>91542</v>
      </c>
    </row>
    <row r="1569" spans="1:17" x14ac:dyDescent="0.2">
      <c r="A1569" s="1">
        <v>43070</v>
      </c>
      <c r="B1569">
        <v>50470</v>
      </c>
      <c r="C1569" t="s">
        <v>79</v>
      </c>
      <c r="D1569" t="s">
        <v>47</v>
      </c>
      <c r="E1569" t="s">
        <v>73</v>
      </c>
      <c r="F1569" s="5">
        <v>57</v>
      </c>
      <c r="G1569" t="str">
        <f>IF(Data[[#This Row],[Age]]&lt;25,"Under 25",IF(Data[[#This Row],[Age]]&lt;35,"25–34",IF(Data[[#This Row],[Age]]&lt;45,"35–44",IF(Data[[#This Row],[Age]]&lt;55,"45–54","55+"))))</f>
        <v>55+</v>
      </c>
      <c r="H1569" t="s">
        <v>31</v>
      </c>
      <c r="I1569" t="s">
        <v>56</v>
      </c>
      <c r="J1569" t="s">
        <v>37</v>
      </c>
      <c r="K1569" s="1">
        <v>27354</v>
      </c>
      <c r="M1569" s="1" t="str">
        <f>IF(ISBLANK(Data[[#This Row],[EndDate]]),"Active","InActive")</f>
        <v>Active</v>
      </c>
      <c r="N1569" t="s">
        <v>57</v>
      </c>
      <c r="O1569" t="s">
        <v>77</v>
      </c>
      <c r="P1569" t="s">
        <v>32</v>
      </c>
      <c r="Q1569" s="2">
        <v>47538</v>
      </c>
    </row>
    <row r="1570" spans="1:17" x14ac:dyDescent="0.2">
      <c r="A1570" s="1">
        <v>43070</v>
      </c>
      <c r="B1570">
        <v>92358</v>
      </c>
      <c r="C1570" t="s">
        <v>79</v>
      </c>
      <c r="D1570" t="s">
        <v>29</v>
      </c>
      <c r="E1570" t="s">
        <v>36</v>
      </c>
      <c r="F1570" s="5">
        <v>57</v>
      </c>
      <c r="G1570" t="str">
        <f>IF(Data[[#This Row],[Age]]&lt;25,"Under 25",IF(Data[[#This Row],[Age]]&lt;35,"25–34",IF(Data[[#This Row],[Age]]&lt;45,"35–44",IF(Data[[#This Row],[Age]]&lt;55,"45–54","55+"))))</f>
        <v>55+</v>
      </c>
      <c r="H1570" t="s">
        <v>59</v>
      </c>
      <c r="I1570" t="s">
        <v>56</v>
      </c>
      <c r="J1570" t="s">
        <v>19</v>
      </c>
      <c r="K1570" s="1">
        <v>37390</v>
      </c>
      <c r="M1570" s="1" t="str">
        <f>IF(ISBLANK(Data[[#This Row],[EndDate]]),"Active","InActive")</f>
        <v>Active</v>
      </c>
      <c r="N1570" t="s">
        <v>57</v>
      </c>
      <c r="O1570" t="s">
        <v>77</v>
      </c>
      <c r="P1570" t="s">
        <v>32</v>
      </c>
      <c r="Q1570" s="2">
        <v>75012</v>
      </c>
    </row>
    <row r="1571" spans="1:17" x14ac:dyDescent="0.2">
      <c r="A1571" s="1">
        <v>43435</v>
      </c>
      <c r="B1571">
        <v>40472</v>
      </c>
      <c r="C1571" t="s">
        <v>79</v>
      </c>
      <c r="D1571" t="s">
        <v>47</v>
      </c>
      <c r="E1571" t="s">
        <v>73</v>
      </c>
      <c r="F1571" s="5">
        <v>57</v>
      </c>
      <c r="G1571" t="str">
        <f>IF(Data[[#This Row],[Age]]&lt;25,"Under 25",IF(Data[[#This Row],[Age]]&lt;35,"25–34",IF(Data[[#This Row],[Age]]&lt;45,"35–44",IF(Data[[#This Row],[Age]]&lt;55,"45–54","55+"))))</f>
        <v>55+</v>
      </c>
      <c r="H1571" t="s">
        <v>34</v>
      </c>
      <c r="I1571" t="s">
        <v>56</v>
      </c>
      <c r="J1571" t="s">
        <v>37</v>
      </c>
      <c r="K1571" s="1">
        <v>38490</v>
      </c>
      <c r="M1571" s="1" t="str">
        <f>IF(ISBLANK(Data[[#This Row],[EndDate]]),"Active","InActive")</f>
        <v>Active</v>
      </c>
      <c r="N1571" t="s">
        <v>57</v>
      </c>
      <c r="O1571" t="s">
        <v>77</v>
      </c>
      <c r="P1571" t="s">
        <v>40</v>
      </c>
      <c r="Q1571" s="2">
        <v>33288</v>
      </c>
    </row>
    <row r="1572" spans="1:17" x14ac:dyDescent="0.2">
      <c r="A1572" s="1">
        <v>43435</v>
      </c>
      <c r="B1572">
        <v>50278</v>
      </c>
      <c r="C1572" t="s">
        <v>79</v>
      </c>
      <c r="D1572" t="s">
        <v>52</v>
      </c>
      <c r="E1572" t="s">
        <v>53</v>
      </c>
      <c r="F1572" s="5">
        <v>57</v>
      </c>
      <c r="G1572" t="str">
        <f>IF(Data[[#This Row],[Age]]&lt;25,"Under 25",IF(Data[[#This Row],[Age]]&lt;35,"25–34",IF(Data[[#This Row],[Age]]&lt;45,"35–44",IF(Data[[#This Row],[Age]]&lt;55,"45–54","55+"))))</f>
        <v>55+</v>
      </c>
      <c r="H1572" t="s">
        <v>25</v>
      </c>
      <c r="I1572" t="s">
        <v>56</v>
      </c>
      <c r="J1572" t="s">
        <v>37</v>
      </c>
      <c r="K1572" s="1">
        <v>36812</v>
      </c>
      <c r="M1572" s="1" t="str">
        <f>IF(ISBLANK(Data[[#This Row],[EndDate]]),"Active","InActive")</f>
        <v>Active</v>
      </c>
      <c r="N1572" t="s">
        <v>57</v>
      </c>
      <c r="O1572" t="s">
        <v>77</v>
      </c>
      <c r="P1572" t="s">
        <v>40</v>
      </c>
      <c r="Q1572" s="2">
        <v>94392</v>
      </c>
    </row>
    <row r="1573" spans="1:17" x14ac:dyDescent="0.2">
      <c r="A1573" s="1">
        <v>43435</v>
      </c>
      <c r="B1573">
        <v>50884</v>
      </c>
      <c r="C1573" t="s">
        <v>79</v>
      </c>
      <c r="D1573" t="s">
        <v>27</v>
      </c>
      <c r="E1573" t="s">
        <v>74</v>
      </c>
      <c r="F1573" s="5">
        <v>57</v>
      </c>
      <c r="G1573" t="str">
        <f>IF(Data[[#This Row],[Age]]&lt;25,"Under 25",IF(Data[[#This Row],[Age]]&lt;35,"25–34",IF(Data[[#This Row],[Age]]&lt;45,"35–44",IF(Data[[#This Row],[Age]]&lt;55,"45–54","55+"))))</f>
        <v>55+</v>
      </c>
      <c r="H1573" t="s">
        <v>34</v>
      </c>
      <c r="I1573" t="s">
        <v>56</v>
      </c>
      <c r="J1573" t="s">
        <v>37</v>
      </c>
      <c r="K1573" s="1">
        <v>38457</v>
      </c>
      <c r="M1573" s="1" t="str">
        <f>IF(ISBLANK(Data[[#This Row],[EndDate]]),"Active","InActive")</f>
        <v>Active</v>
      </c>
      <c r="N1573" t="s">
        <v>57</v>
      </c>
      <c r="O1573" t="s">
        <v>77</v>
      </c>
      <c r="P1573" t="s">
        <v>40</v>
      </c>
      <c r="Q1573" s="2">
        <v>97242</v>
      </c>
    </row>
    <row r="1574" spans="1:17" x14ac:dyDescent="0.2">
      <c r="A1574" s="1">
        <v>43435</v>
      </c>
      <c r="B1574">
        <v>51916</v>
      </c>
      <c r="C1574" t="s">
        <v>79</v>
      </c>
      <c r="D1574" t="s">
        <v>29</v>
      </c>
      <c r="E1574" t="s">
        <v>36</v>
      </c>
      <c r="F1574" s="5">
        <v>57</v>
      </c>
      <c r="G1574" t="str">
        <f>IF(Data[[#This Row],[Age]]&lt;25,"Under 25",IF(Data[[#This Row],[Age]]&lt;35,"25–34",IF(Data[[#This Row],[Age]]&lt;45,"35–44",IF(Data[[#This Row],[Age]]&lt;55,"45–54","55+"))))</f>
        <v>55+</v>
      </c>
      <c r="H1574" t="s">
        <v>59</v>
      </c>
      <c r="I1574" t="s">
        <v>56</v>
      </c>
      <c r="J1574" t="s">
        <v>35</v>
      </c>
      <c r="K1574" s="1">
        <v>37754</v>
      </c>
      <c r="M1574" s="1" t="str">
        <f>IF(ISBLANK(Data[[#This Row],[EndDate]]),"Active","InActive")</f>
        <v>Active</v>
      </c>
      <c r="N1574" t="s">
        <v>57</v>
      </c>
      <c r="O1574" t="s">
        <v>77</v>
      </c>
      <c r="P1574" t="s">
        <v>40</v>
      </c>
      <c r="Q1574" s="2">
        <v>52326</v>
      </c>
    </row>
    <row r="1575" spans="1:17" x14ac:dyDescent="0.2">
      <c r="A1575" s="1">
        <v>43435</v>
      </c>
      <c r="B1575">
        <v>52566</v>
      </c>
      <c r="C1575" t="s">
        <v>80</v>
      </c>
      <c r="D1575" t="s">
        <v>15</v>
      </c>
      <c r="E1575" t="s">
        <v>58</v>
      </c>
      <c r="F1575" s="5">
        <v>57</v>
      </c>
      <c r="G1575" t="str">
        <f>IF(Data[[#This Row],[Age]]&lt;25,"Under 25",IF(Data[[#This Row],[Age]]&lt;35,"25–34",IF(Data[[#This Row],[Age]]&lt;45,"35–44",IF(Data[[#This Row],[Age]]&lt;55,"45–54","55+"))))</f>
        <v>55+</v>
      </c>
      <c r="H1575" t="s">
        <v>46</v>
      </c>
      <c r="I1575" t="s">
        <v>56</v>
      </c>
      <c r="J1575" t="s">
        <v>35</v>
      </c>
      <c r="K1575" s="1">
        <v>40079</v>
      </c>
      <c r="M1575" s="1" t="str">
        <f>IF(ISBLANK(Data[[#This Row],[EndDate]]),"Active","InActive")</f>
        <v>Active</v>
      </c>
      <c r="N1575" t="s">
        <v>57</v>
      </c>
      <c r="O1575" t="s">
        <v>77</v>
      </c>
      <c r="P1575" t="s">
        <v>40</v>
      </c>
      <c r="Q1575" s="2">
        <v>73302</v>
      </c>
    </row>
    <row r="1576" spans="1:17" x14ac:dyDescent="0.2">
      <c r="A1576" s="1">
        <v>43435</v>
      </c>
      <c r="B1576">
        <v>95754</v>
      </c>
      <c r="C1576" t="s">
        <v>80</v>
      </c>
      <c r="D1576" t="s">
        <v>52</v>
      </c>
      <c r="E1576" t="s">
        <v>67</v>
      </c>
      <c r="F1576" s="5">
        <v>58</v>
      </c>
      <c r="G1576" t="str">
        <f>IF(Data[[#This Row],[Age]]&lt;25,"Under 25",IF(Data[[#This Row],[Age]]&lt;35,"25–34",IF(Data[[#This Row],[Age]]&lt;45,"35–44",IF(Data[[#This Row],[Age]]&lt;55,"45–54","55+"))))</f>
        <v>55+</v>
      </c>
      <c r="H1576" t="s">
        <v>17</v>
      </c>
      <c r="I1576" t="s">
        <v>56</v>
      </c>
      <c r="J1576" t="s">
        <v>19</v>
      </c>
      <c r="K1576" s="1">
        <v>38874</v>
      </c>
      <c r="M1576" s="1" t="str">
        <f>IF(ISBLANK(Data[[#This Row],[EndDate]]),"Active","InActive")</f>
        <v>Active</v>
      </c>
      <c r="N1576" t="s">
        <v>57</v>
      </c>
      <c r="O1576" t="s">
        <v>77</v>
      </c>
      <c r="P1576" t="s">
        <v>40</v>
      </c>
      <c r="Q1576" s="2">
        <v>100804</v>
      </c>
    </row>
    <row r="1577" spans="1:17" x14ac:dyDescent="0.2">
      <c r="A1577" s="1">
        <v>43435</v>
      </c>
      <c r="B1577">
        <v>49576</v>
      </c>
      <c r="C1577" t="s">
        <v>79</v>
      </c>
      <c r="D1577" t="s">
        <v>41</v>
      </c>
      <c r="E1577" t="s">
        <v>62</v>
      </c>
      <c r="F1577" s="5">
        <v>58</v>
      </c>
      <c r="G1577" t="str">
        <f>IF(Data[[#This Row],[Age]]&lt;25,"Under 25",IF(Data[[#This Row],[Age]]&lt;35,"25–34",IF(Data[[#This Row],[Age]]&lt;45,"35–44",IF(Data[[#This Row],[Age]]&lt;55,"45–54","55+"))))</f>
        <v>55+</v>
      </c>
      <c r="H1577" t="s">
        <v>34</v>
      </c>
      <c r="I1577" t="s">
        <v>18</v>
      </c>
      <c r="J1577" t="s">
        <v>26</v>
      </c>
      <c r="K1577" s="1">
        <v>41214</v>
      </c>
      <c r="M1577" s="1" t="str">
        <f>IF(ISBLANK(Data[[#This Row],[EndDate]]),"Active","InActive")</f>
        <v>Active</v>
      </c>
      <c r="N1577" t="s">
        <v>20</v>
      </c>
      <c r="O1577" t="s">
        <v>77</v>
      </c>
      <c r="P1577" t="s">
        <v>40</v>
      </c>
      <c r="Q1577" s="2">
        <v>79344</v>
      </c>
    </row>
    <row r="1578" spans="1:17" x14ac:dyDescent="0.2">
      <c r="A1578" s="1">
        <v>43070</v>
      </c>
      <c r="B1578">
        <v>42106</v>
      </c>
      <c r="C1578" t="s">
        <v>80</v>
      </c>
      <c r="D1578" t="s">
        <v>41</v>
      </c>
      <c r="E1578" t="s">
        <v>62</v>
      </c>
      <c r="F1578" s="5">
        <v>58</v>
      </c>
      <c r="G1578" t="str">
        <f>IF(Data[[#This Row],[Age]]&lt;25,"Under 25",IF(Data[[#This Row],[Age]]&lt;35,"25–34",IF(Data[[#This Row],[Age]]&lt;45,"35–44",IF(Data[[#This Row],[Age]]&lt;55,"45–54","55+"))))</f>
        <v>55+</v>
      </c>
      <c r="H1578" t="s">
        <v>46</v>
      </c>
      <c r="I1578" t="s">
        <v>18</v>
      </c>
      <c r="J1578" t="s">
        <v>35</v>
      </c>
      <c r="K1578" s="1">
        <v>41144</v>
      </c>
      <c r="L1578" s="1">
        <v>41244</v>
      </c>
      <c r="M1578" s="1" t="str">
        <f>IF(ISBLANK(Data[[#This Row],[EndDate]]),"Active","InActive")</f>
        <v>InActive</v>
      </c>
      <c r="N1578" t="s">
        <v>20</v>
      </c>
      <c r="O1578" t="s">
        <v>77</v>
      </c>
      <c r="P1578" t="s">
        <v>32</v>
      </c>
      <c r="Q1578" s="2">
        <v>72732</v>
      </c>
    </row>
    <row r="1579" spans="1:17" x14ac:dyDescent="0.2">
      <c r="A1579" s="1">
        <v>43435</v>
      </c>
      <c r="B1579">
        <v>40456</v>
      </c>
      <c r="C1579" t="s">
        <v>80</v>
      </c>
      <c r="D1579" t="s">
        <v>15</v>
      </c>
      <c r="E1579" t="s">
        <v>16</v>
      </c>
      <c r="F1579" s="5">
        <v>58</v>
      </c>
      <c r="G1579" t="str">
        <f>IF(Data[[#This Row],[Age]]&lt;25,"Under 25",IF(Data[[#This Row],[Age]]&lt;35,"25–34",IF(Data[[#This Row],[Age]]&lt;45,"35–44",IF(Data[[#This Row],[Age]]&lt;55,"45–54","55+"))))</f>
        <v>55+</v>
      </c>
      <c r="H1579" t="s">
        <v>34</v>
      </c>
      <c r="I1579" t="s">
        <v>18</v>
      </c>
      <c r="J1579" t="s">
        <v>37</v>
      </c>
      <c r="K1579" s="1">
        <v>41800</v>
      </c>
      <c r="M1579" s="1" t="str">
        <f>IF(ISBLANK(Data[[#This Row],[EndDate]]),"Active","InActive")</f>
        <v>Active</v>
      </c>
      <c r="N1579" t="s">
        <v>20</v>
      </c>
      <c r="O1579" t="s">
        <v>77</v>
      </c>
      <c r="P1579" t="s">
        <v>40</v>
      </c>
      <c r="Q1579" s="2">
        <v>104748</v>
      </c>
    </row>
    <row r="1580" spans="1:17" x14ac:dyDescent="0.2">
      <c r="A1580" s="1">
        <v>43435</v>
      </c>
      <c r="B1580">
        <v>40986</v>
      </c>
      <c r="C1580" t="s">
        <v>80</v>
      </c>
      <c r="D1580" t="s">
        <v>23</v>
      </c>
      <c r="E1580" t="s">
        <v>24</v>
      </c>
      <c r="F1580" s="5">
        <v>58</v>
      </c>
      <c r="G1580" t="str">
        <f>IF(Data[[#This Row],[Age]]&lt;25,"Under 25",IF(Data[[#This Row],[Age]]&lt;35,"25–34",IF(Data[[#This Row],[Age]]&lt;45,"35–44",IF(Data[[#This Row],[Age]]&lt;55,"45–54","55+"))))</f>
        <v>55+</v>
      </c>
      <c r="H1580" t="s">
        <v>46</v>
      </c>
      <c r="I1580" t="s">
        <v>18</v>
      </c>
      <c r="J1580" t="s">
        <v>37</v>
      </c>
      <c r="K1580" s="1">
        <v>41936</v>
      </c>
      <c r="M1580" s="1" t="str">
        <f>IF(ISBLANK(Data[[#This Row],[EndDate]]),"Active","InActive")</f>
        <v>Active</v>
      </c>
      <c r="N1580" t="s">
        <v>20</v>
      </c>
      <c r="O1580" t="s">
        <v>77</v>
      </c>
      <c r="P1580" t="s">
        <v>40</v>
      </c>
      <c r="Q1580" s="2">
        <v>97208</v>
      </c>
    </row>
    <row r="1581" spans="1:17" x14ac:dyDescent="0.2">
      <c r="A1581" s="1">
        <v>43435</v>
      </c>
      <c r="B1581">
        <v>43802</v>
      </c>
      <c r="C1581" t="s">
        <v>80</v>
      </c>
      <c r="D1581" t="s">
        <v>52</v>
      </c>
      <c r="E1581" t="s">
        <v>69</v>
      </c>
      <c r="F1581" s="5">
        <v>58</v>
      </c>
      <c r="G1581" t="str">
        <f>IF(Data[[#This Row],[Age]]&lt;25,"Under 25",IF(Data[[#This Row],[Age]]&lt;35,"25–34",IF(Data[[#This Row],[Age]]&lt;45,"35–44",IF(Data[[#This Row],[Age]]&lt;55,"45–54","55+"))))</f>
        <v>55+</v>
      </c>
      <c r="H1581" t="s">
        <v>59</v>
      </c>
      <c r="I1581" t="s">
        <v>18</v>
      </c>
      <c r="J1581" t="s">
        <v>37</v>
      </c>
      <c r="K1581" s="1">
        <v>41717</v>
      </c>
      <c r="M1581" s="1" t="str">
        <f>IF(ISBLANK(Data[[#This Row],[EndDate]]),"Active","InActive")</f>
        <v>Active</v>
      </c>
      <c r="N1581" t="s">
        <v>20</v>
      </c>
      <c r="O1581" t="s">
        <v>77</v>
      </c>
      <c r="P1581" t="s">
        <v>40</v>
      </c>
      <c r="Q1581" s="2">
        <v>55564</v>
      </c>
    </row>
    <row r="1582" spans="1:17" x14ac:dyDescent="0.2">
      <c r="A1582" s="1">
        <v>43435</v>
      </c>
      <c r="B1582">
        <v>51994</v>
      </c>
      <c r="C1582" t="s">
        <v>80</v>
      </c>
      <c r="D1582" t="s">
        <v>41</v>
      </c>
      <c r="E1582" t="s">
        <v>42</v>
      </c>
      <c r="F1582" s="5">
        <v>58</v>
      </c>
      <c r="G1582" t="str">
        <f>IF(Data[[#This Row],[Age]]&lt;25,"Under 25",IF(Data[[#This Row],[Age]]&lt;35,"25–34",IF(Data[[#This Row],[Age]]&lt;45,"35–44",IF(Data[[#This Row],[Age]]&lt;55,"45–54","55+"))))</f>
        <v>55+</v>
      </c>
      <c r="H1582" t="s">
        <v>34</v>
      </c>
      <c r="I1582" t="s">
        <v>18</v>
      </c>
      <c r="J1582" t="s">
        <v>37</v>
      </c>
      <c r="K1582" s="1">
        <v>38301</v>
      </c>
      <c r="M1582" s="1" t="str">
        <f>IF(ISBLANK(Data[[#This Row],[EndDate]]),"Active","InActive")</f>
        <v>Active</v>
      </c>
      <c r="N1582" t="s">
        <v>20</v>
      </c>
      <c r="O1582" t="s">
        <v>77</v>
      </c>
      <c r="P1582" t="s">
        <v>40</v>
      </c>
      <c r="Q1582" s="2">
        <v>35496</v>
      </c>
    </row>
    <row r="1583" spans="1:17" x14ac:dyDescent="0.2">
      <c r="A1583" s="1">
        <v>43435</v>
      </c>
      <c r="B1583">
        <v>52592</v>
      </c>
      <c r="C1583" t="s">
        <v>80</v>
      </c>
      <c r="D1583" t="s">
        <v>15</v>
      </c>
      <c r="E1583" t="s">
        <v>16</v>
      </c>
      <c r="F1583" s="5">
        <v>58</v>
      </c>
      <c r="G1583" t="str">
        <f>IF(Data[[#This Row],[Age]]&lt;25,"Under 25",IF(Data[[#This Row],[Age]]&lt;35,"25–34",IF(Data[[#This Row],[Age]]&lt;45,"35–44",IF(Data[[#This Row],[Age]]&lt;55,"45–54","55+"))))</f>
        <v>55+</v>
      </c>
      <c r="H1583" t="s">
        <v>31</v>
      </c>
      <c r="I1583" t="s">
        <v>18</v>
      </c>
      <c r="J1583" t="s">
        <v>37</v>
      </c>
      <c r="K1583" s="1">
        <v>41894</v>
      </c>
      <c r="M1583" s="1" t="str">
        <f>IF(ISBLANK(Data[[#This Row],[EndDate]]),"Active","InActive")</f>
        <v>Active</v>
      </c>
      <c r="N1583" t="s">
        <v>20</v>
      </c>
      <c r="O1583" t="s">
        <v>77</v>
      </c>
      <c r="P1583" t="s">
        <v>40</v>
      </c>
      <c r="Q1583" s="2">
        <v>81084</v>
      </c>
    </row>
    <row r="1584" spans="1:17" x14ac:dyDescent="0.2">
      <c r="A1584" s="1">
        <v>43435</v>
      </c>
      <c r="B1584">
        <v>56464</v>
      </c>
      <c r="C1584" t="s">
        <v>80</v>
      </c>
      <c r="D1584" t="s">
        <v>47</v>
      </c>
      <c r="E1584" t="s">
        <v>64</v>
      </c>
      <c r="F1584" s="5">
        <v>58</v>
      </c>
      <c r="G1584" t="str">
        <f>IF(Data[[#This Row],[Age]]&lt;25,"Under 25",IF(Data[[#This Row],[Age]]&lt;35,"25–34",IF(Data[[#This Row],[Age]]&lt;45,"35–44",IF(Data[[#This Row],[Age]]&lt;55,"45–54","55+"))))</f>
        <v>55+</v>
      </c>
      <c r="H1584" t="s">
        <v>31</v>
      </c>
      <c r="I1584" t="s">
        <v>18</v>
      </c>
      <c r="J1584" t="s">
        <v>37</v>
      </c>
      <c r="K1584" s="1">
        <v>41746</v>
      </c>
      <c r="M1584" s="1" t="str">
        <f>IF(ISBLANK(Data[[#This Row],[EndDate]]),"Active","InActive")</f>
        <v>Active</v>
      </c>
      <c r="N1584" t="s">
        <v>20</v>
      </c>
      <c r="O1584" t="s">
        <v>77</v>
      </c>
      <c r="P1584" t="s">
        <v>40</v>
      </c>
      <c r="Q1584" s="2">
        <v>53476</v>
      </c>
    </row>
    <row r="1585" spans="1:17" x14ac:dyDescent="0.2">
      <c r="A1585" s="1">
        <v>42705</v>
      </c>
      <c r="B1585">
        <v>43438</v>
      </c>
      <c r="C1585" t="s">
        <v>80</v>
      </c>
      <c r="D1585" t="s">
        <v>41</v>
      </c>
      <c r="E1585" t="s">
        <v>62</v>
      </c>
      <c r="F1585" s="5">
        <v>58</v>
      </c>
      <c r="G1585" t="str">
        <f>IF(Data[[#This Row],[Age]]&lt;25,"Under 25",IF(Data[[#This Row],[Age]]&lt;35,"25–34",IF(Data[[#This Row],[Age]]&lt;45,"35–44",IF(Data[[#This Row],[Age]]&lt;55,"45–54","55+"))))</f>
        <v>55+</v>
      </c>
      <c r="H1585" t="s">
        <v>17</v>
      </c>
      <c r="I1585" t="s">
        <v>56</v>
      </c>
      <c r="J1585" t="s">
        <v>37</v>
      </c>
      <c r="K1585" s="1">
        <v>41109</v>
      </c>
      <c r="M1585" s="1" t="str">
        <f>IF(ISBLANK(Data[[#This Row],[EndDate]]),"Active","InActive")</f>
        <v>Active</v>
      </c>
      <c r="N1585" t="s">
        <v>57</v>
      </c>
      <c r="O1585" t="s">
        <v>77</v>
      </c>
      <c r="P1585" t="s">
        <v>22</v>
      </c>
      <c r="Q1585" s="2">
        <v>90828</v>
      </c>
    </row>
    <row r="1586" spans="1:17" x14ac:dyDescent="0.2">
      <c r="A1586" s="1">
        <v>42705</v>
      </c>
      <c r="B1586">
        <v>43678</v>
      </c>
      <c r="C1586" t="s">
        <v>80</v>
      </c>
      <c r="D1586" t="s">
        <v>47</v>
      </c>
      <c r="E1586" t="s">
        <v>64</v>
      </c>
      <c r="F1586" s="5">
        <v>58</v>
      </c>
      <c r="G1586" t="str">
        <f>IF(Data[[#This Row],[Age]]&lt;25,"Under 25",IF(Data[[#This Row],[Age]]&lt;35,"25–34",IF(Data[[#This Row],[Age]]&lt;45,"35–44",IF(Data[[#This Row],[Age]]&lt;55,"45–54","55+"))))</f>
        <v>55+</v>
      </c>
      <c r="H1586" t="s">
        <v>49</v>
      </c>
      <c r="I1586" t="s">
        <v>56</v>
      </c>
      <c r="J1586" t="s">
        <v>37</v>
      </c>
      <c r="K1586" s="1">
        <v>39181</v>
      </c>
      <c r="M1586" s="1" t="str">
        <f>IF(ISBLANK(Data[[#This Row],[EndDate]]),"Active","InActive")</f>
        <v>Active</v>
      </c>
      <c r="N1586" t="s">
        <v>57</v>
      </c>
      <c r="O1586" t="s">
        <v>77</v>
      </c>
      <c r="P1586" t="s">
        <v>22</v>
      </c>
      <c r="Q1586" s="2">
        <v>18328</v>
      </c>
    </row>
    <row r="1587" spans="1:17" x14ac:dyDescent="0.2">
      <c r="A1587" s="1">
        <v>42705</v>
      </c>
      <c r="B1587">
        <v>97546</v>
      </c>
      <c r="C1587" t="s">
        <v>79</v>
      </c>
      <c r="D1587" t="s">
        <v>47</v>
      </c>
      <c r="E1587" t="s">
        <v>48</v>
      </c>
      <c r="F1587" s="5">
        <v>58</v>
      </c>
      <c r="G1587" t="str">
        <f>IF(Data[[#This Row],[Age]]&lt;25,"Under 25",IF(Data[[#This Row],[Age]]&lt;35,"25–34",IF(Data[[#This Row],[Age]]&lt;45,"35–44",IF(Data[[#This Row],[Age]]&lt;55,"45–54","55+"))))</f>
        <v>55+</v>
      </c>
      <c r="H1587" t="s">
        <v>34</v>
      </c>
      <c r="I1587" t="s">
        <v>56</v>
      </c>
      <c r="J1587" t="s">
        <v>19</v>
      </c>
      <c r="K1587" s="1">
        <v>37826</v>
      </c>
      <c r="L1587" s="1">
        <v>37886</v>
      </c>
      <c r="M1587" s="1" t="str">
        <f>IF(ISBLANK(Data[[#This Row],[EndDate]]),"Active","InActive")</f>
        <v>InActive</v>
      </c>
      <c r="N1587" t="s">
        <v>57</v>
      </c>
      <c r="O1587" t="s">
        <v>77</v>
      </c>
      <c r="P1587" t="s">
        <v>22</v>
      </c>
      <c r="Q1587" s="2">
        <v>20300</v>
      </c>
    </row>
    <row r="1588" spans="1:17" x14ac:dyDescent="0.2">
      <c r="A1588" s="1">
        <v>43070</v>
      </c>
      <c r="B1588">
        <v>42892</v>
      </c>
      <c r="C1588" t="s">
        <v>80</v>
      </c>
      <c r="D1588" t="s">
        <v>15</v>
      </c>
      <c r="E1588" t="s">
        <v>70</v>
      </c>
      <c r="F1588" s="5">
        <v>58</v>
      </c>
      <c r="G1588" t="str">
        <f>IF(Data[[#This Row],[Age]]&lt;25,"Under 25",IF(Data[[#This Row],[Age]]&lt;35,"25–34",IF(Data[[#This Row],[Age]]&lt;45,"35–44",IF(Data[[#This Row],[Age]]&lt;55,"45–54","55+"))))</f>
        <v>55+</v>
      </c>
      <c r="H1588" t="s">
        <v>17</v>
      </c>
      <c r="I1588" t="s">
        <v>56</v>
      </c>
      <c r="J1588" t="s">
        <v>35</v>
      </c>
      <c r="K1588" s="1">
        <v>39252</v>
      </c>
      <c r="L1588" s="1">
        <v>39352</v>
      </c>
      <c r="M1588" s="1" t="str">
        <f>IF(ISBLANK(Data[[#This Row],[EndDate]]),"Active","InActive")</f>
        <v>InActive</v>
      </c>
      <c r="N1588" t="s">
        <v>57</v>
      </c>
      <c r="O1588" t="s">
        <v>77</v>
      </c>
      <c r="P1588" t="s">
        <v>32</v>
      </c>
      <c r="Q1588" s="2">
        <v>37352</v>
      </c>
    </row>
    <row r="1589" spans="1:17" x14ac:dyDescent="0.2">
      <c r="A1589" s="1">
        <v>43070</v>
      </c>
      <c r="B1589">
        <v>50438</v>
      </c>
      <c r="C1589" t="s">
        <v>79</v>
      </c>
      <c r="D1589" t="s">
        <v>38</v>
      </c>
      <c r="E1589" t="s">
        <v>61</v>
      </c>
      <c r="F1589" s="5">
        <v>58</v>
      </c>
      <c r="G1589" t="str">
        <f>IF(Data[[#This Row],[Age]]&lt;25,"Under 25",IF(Data[[#This Row],[Age]]&lt;35,"25–34",IF(Data[[#This Row],[Age]]&lt;45,"35–44",IF(Data[[#This Row],[Age]]&lt;55,"45–54","55+"))))</f>
        <v>55+</v>
      </c>
      <c r="H1589" t="s">
        <v>17</v>
      </c>
      <c r="I1589" t="s">
        <v>56</v>
      </c>
      <c r="J1589" t="s">
        <v>26</v>
      </c>
      <c r="K1589" s="1">
        <v>38440</v>
      </c>
      <c r="M1589" s="1" t="str">
        <f>IF(ISBLANK(Data[[#This Row],[EndDate]]),"Active","InActive")</f>
        <v>Active</v>
      </c>
      <c r="N1589" t="s">
        <v>57</v>
      </c>
      <c r="O1589" t="s">
        <v>77</v>
      </c>
      <c r="P1589" t="s">
        <v>32</v>
      </c>
      <c r="Q1589" s="2">
        <v>104864</v>
      </c>
    </row>
    <row r="1590" spans="1:17" x14ac:dyDescent="0.2">
      <c r="A1590" s="1">
        <v>43070</v>
      </c>
      <c r="B1590">
        <v>92166</v>
      </c>
      <c r="C1590" t="s">
        <v>79</v>
      </c>
      <c r="D1590" t="s">
        <v>15</v>
      </c>
      <c r="E1590" t="s">
        <v>58</v>
      </c>
      <c r="F1590" s="5">
        <v>58</v>
      </c>
      <c r="G1590" t="str">
        <f>IF(Data[[#This Row],[Age]]&lt;25,"Under 25",IF(Data[[#This Row],[Age]]&lt;35,"25–34",IF(Data[[#This Row],[Age]]&lt;45,"35–44",IF(Data[[#This Row],[Age]]&lt;55,"45–54","55+"))))</f>
        <v>55+</v>
      </c>
      <c r="H1590" t="s">
        <v>31</v>
      </c>
      <c r="I1590" t="s">
        <v>56</v>
      </c>
      <c r="J1590" t="s">
        <v>19</v>
      </c>
      <c r="K1590" s="1">
        <v>38734</v>
      </c>
      <c r="M1590" s="1" t="str">
        <f>IF(ISBLANK(Data[[#This Row],[EndDate]]),"Active","InActive")</f>
        <v>Active</v>
      </c>
      <c r="N1590" t="s">
        <v>57</v>
      </c>
      <c r="O1590" t="s">
        <v>77</v>
      </c>
      <c r="P1590" t="s">
        <v>32</v>
      </c>
      <c r="Q1590" s="2">
        <v>99992</v>
      </c>
    </row>
    <row r="1591" spans="1:17" x14ac:dyDescent="0.2">
      <c r="A1591" s="1">
        <v>43435</v>
      </c>
      <c r="B1591">
        <v>43526</v>
      </c>
      <c r="C1591" t="s">
        <v>80</v>
      </c>
      <c r="D1591" t="s">
        <v>50</v>
      </c>
      <c r="E1591" t="s">
        <v>63</v>
      </c>
      <c r="F1591" s="5">
        <v>58</v>
      </c>
      <c r="G1591" t="str">
        <f>IF(Data[[#This Row],[Age]]&lt;25,"Under 25",IF(Data[[#This Row],[Age]]&lt;35,"25–34",IF(Data[[#This Row],[Age]]&lt;45,"35–44",IF(Data[[#This Row],[Age]]&lt;55,"45–54","55+"))))</f>
        <v>55+</v>
      </c>
      <c r="H1591" t="s">
        <v>59</v>
      </c>
      <c r="I1591" t="s">
        <v>56</v>
      </c>
      <c r="J1591" t="s">
        <v>37</v>
      </c>
      <c r="K1591" s="1">
        <v>39564</v>
      </c>
      <c r="M1591" s="1" t="str">
        <f>IF(ISBLANK(Data[[#This Row],[EndDate]]),"Active","InActive")</f>
        <v>Active</v>
      </c>
      <c r="N1591" t="s">
        <v>57</v>
      </c>
      <c r="O1591" t="s">
        <v>77</v>
      </c>
      <c r="P1591" t="s">
        <v>40</v>
      </c>
      <c r="Q1591" s="2">
        <v>53940</v>
      </c>
    </row>
    <row r="1592" spans="1:17" x14ac:dyDescent="0.2">
      <c r="A1592" s="1">
        <v>43435</v>
      </c>
      <c r="B1592">
        <v>50470</v>
      </c>
      <c r="C1592" t="s">
        <v>79</v>
      </c>
      <c r="D1592" t="s">
        <v>47</v>
      </c>
      <c r="E1592" t="s">
        <v>73</v>
      </c>
      <c r="F1592" s="5">
        <v>58</v>
      </c>
      <c r="G1592" t="str">
        <f>IF(Data[[#This Row],[Age]]&lt;25,"Under 25",IF(Data[[#This Row],[Age]]&lt;35,"25–34",IF(Data[[#This Row],[Age]]&lt;45,"35–44",IF(Data[[#This Row],[Age]]&lt;55,"45–54","55+"))))</f>
        <v>55+</v>
      </c>
      <c r="H1592" t="s">
        <v>31</v>
      </c>
      <c r="I1592" t="s">
        <v>56</v>
      </c>
      <c r="J1592" t="s">
        <v>37</v>
      </c>
      <c r="K1592" s="1">
        <v>27354</v>
      </c>
      <c r="M1592" s="1" t="str">
        <f>IF(ISBLANK(Data[[#This Row],[EndDate]]),"Active","InActive")</f>
        <v>Active</v>
      </c>
      <c r="N1592" t="s">
        <v>57</v>
      </c>
      <c r="O1592" t="s">
        <v>77</v>
      </c>
      <c r="P1592" t="s">
        <v>40</v>
      </c>
      <c r="Q1592" s="2">
        <v>73312</v>
      </c>
    </row>
    <row r="1593" spans="1:17" x14ac:dyDescent="0.2">
      <c r="A1593" s="1">
        <v>43435</v>
      </c>
      <c r="B1593">
        <v>92358</v>
      </c>
      <c r="C1593" t="s">
        <v>79</v>
      </c>
      <c r="D1593" t="s">
        <v>29</v>
      </c>
      <c r="E1593" t="s">
        <v>36</v>
      </c>
      <c r="F1593" s="5">
        <v>58</v>
      </c>
      <c r="G1593" t="str">
        <f>IF(Data[[#This Row],[Age]]&lt;25,"Under 25",IF(Data[[#This Row],[Age]]&lt;35,"25–34",IF(Data[[#This Row],[Age]]&lt;45,"35–44",IF(Data[[#This Row],[Age]]&lt;55,"45–54","55+"))))</f>
        <v>55+</v>
      </c>
      <c r="H1593" t="s">
        <v>59</v>
      </c>
      <c r="I1593" t="s">
        <v>56</v>
      </c>
      <c r="J1593" t="s">
        <v>19</v>
      </c>
      <c r="K1593" s="1">
        <v>37390</v>
      </c>
      <c r="M1593" s="1" t="str">
        <f>IF(ISBLANK(Data[[#This Row],[EndDate]]),"Active","InActive")</f>
        <v>Active</v>
      </c>
      <c r="N1593" t="s">
        <v>57</v>
      </c>
      <c r="O1593" t="s">
        <v>77</v>
      </c>
      <c r="P1593" t="s">
        <v>40</v>
      </c>
      <c r="Q1593" s="2">
        <v>17516</v>
      </c>
    </row>
    <row r="1594" spans="1:17" x14ac:dyDescent="0.2">
      <c r="A1594" s="1">
        <v>43435</v>
      </c>
      <c r="B1594">
        <v>92452</v>
      </c>
      <c r="C1594" t="s">
        <v>79</v>
      </c>
      <c r="D1594" t="s">
        <v>23</v>
      </c>
      <c r="E1594" t="s">
        <v>24</v>
      </c>
      <c r="F1594" s="5">
        <v>58</v>
      </c>
      <c r="G1594" t="str">
        <f>IF(Data[[#This Row],[Age]]&lt;25,"Under 25",IF(Data[[#This Row],[Age]]&lt;35,"25–34",IF(Data[[#This Row],[Age]]&lt;45,"35–44",IF(Data[[#This Row],[Age]]&lt;55,"45–54","55+"))))</f>
        <v>55+</v>
      </c>
      <c r="H1594" t="s">
        <v>25</v>
      </c>
      <c r="I1594" t="s">
        <v>56</v>
      </c>
      <c r="J1594" t="s">
        <v>19</v>
      </c>
      <c r="K1594" s="1">
        <v>41947</v>
      </c>
      <c r="M1594" s="1" t="str">
        <f>IF(ISBLANK(Data[[#This Row],[EndDate]]),"Active","InActive")</f>
        <v>Active</v>
      </c>
      <c r="N1594" t="s">
        <v>57</v>
      </c>
      <c r="O1594" t="s">
        <v>77</v>
      </c>
      <c r="P1594" t="s">
        <v>40</v>
      </c>
      <c r="Q1594" s="2">
        <v>56144</v>
      </c>
    </row>
    <row r="1595" spans="1:17" x14ac:dyDescent="0.2">
      <c r="A1595" s="1">
        <v>42705</v>
      </c>
      <c r="B1595">
        <v>52332</v>
      </c>
      <c r="C1595" t="s">
        <v>80</v>
      </c>
      <c r="D1595" t="s">
        <v>38</v>
      </c>
      <c r="E1595" t="s">
        <v>39</v>
      </c>
      <c r="F1595" s="5">
        <v>59</v>
      </c>
      <c r="G1595" t="str">
        <f>IF(Data[[#This Row],[Age]]&lt;25,"Under 25",IF(Data[[#This Row],[Age]]&lt;35,"25–34",IF(Data[[#This Row],[Age]]&lt;45,"35–44",IF(Data[[#This Row],[Age]]&lt;55,"45–54","55+"))))</f>
        <v>55+</v>
      </c>
      <c r="H1595" t="s">
        <v>59</v>
      </c>
      <c r="I1595" t="s">
        <v>18</v>
      </c>
      <c r="J1595" t="s">
        <v>35</v>
      </c>
      <c r="K1595" s="1">
        <v>37278</v>
      </c>
      <c r="M1595" s="1" t="str">
        <f>IF(ISBLANK(Data[[#This Row],[EndDate]]),"Active","InActive")</f>
        <v>Active</v>
      </c>
      <c r="N1595" t="s">
        <v>20</v>
      </c>
      <c r="O1595" t="s">
        <v>77</v>
      </c>
      <c r="P1595" t="s">
        <v>22</v>
      </c>
      <c r="Q1595" s="2">
        <v>32686</v>
      </c>
    </row>
    <row r="1596" spans="1:17" x14ac:dyDescent="0.2">
      <c r="A1596" s="1">
        <v>43070</v>
      </c>
      <c r="B1596">
        <v>51812</v>
      </c>
      <c r="C1596" t="s">
        <v>80</v>
      </c>
      <c r="D1596" t="s">
        <v>29</v>
      </c>
      <c r="E1596" t="s">
        <v>33</v>
      </c>
      <c r="F1596" s="5">
        <v>59</v>
      </c>
      <c r="G1596" t="str">
        <f>IF(Data[[#This Row],[Age]]&lt;25,"Under 25",IF(Data[[#This Row],[Age]]&lt;35,"25–34",IF(Data[[#This Row],[Age]]&lt;45,"35–44",IF(Data[[#This Row],[Age]]&lt;55,"45–54","55+"))))</f>
        <v>55+</v>
      </c>
      <c r="H1596" t="s">
        <v>34</v>
      </c>
      <c r="I1596" t="s">
        <v>18</v>
      </c>
      <c r="J1596" t="s">
        <v>26</v>
      </c>
      <c r="K1596" s="1">
        <v>41593</v>
      </c>
      <c r="M1596" s="1" t="str">
        <f>IF(ISBLANK(Data[[#This Row],[EndDate]]),"Active","InActive")</f>
        <v>Active</v>
      </c>
      <c r="N1596" t="s">
        <v>20</v>
      </c>
      <c r="O1596" t="s">
        <v>77</v>
      </c>
      <c r="P1596" t="s">
        <v>32</v>
      </c>
      <c r="Q1596" s="2">
        <v>74222</v>
      </c>
    </row>
    <row r="1597" spans="1:17" x14ac:dyDescent="0.2">
      <c r="A1597" s="1">
        <v>43435</v>
      </c>
      <c r="B1597">
        <v>42106</v>
      </c>
      <c r="C1597" t="s">
        <v>80</v>
      </c>
      <c r="D1597" t="s">
        <v>41</v>
      </c>
      <c r="E1597" t="s">
        <v>62</v>
      </c>
      <c r="F1597" s="5">
        <v>59</v>
      </c>
      <c r="G1597" t="str">
        <f>IF(Data[[#This Row],[Age]]&lt;25,"Under 25",IF(Data[[#This Row],[Age]]&lt;35,"25–34",IF(Data[[#This Row],[Age]]&lt;45,"35–44",IF(Data[[#This Row],[Age]]&lt;55,"45–54","55+"))))</f>
        <v>55+</v>
      </c>
      <c r="H1597" t="s">
        <v>46</v>
      </c>
      <c r="I1597" t="s">
        <v>18</v>
      </c>
      <c r="J1597" t="s">
        <v>35</v>
      </c>
      <c r="K1597" s="1">
        <v>41144</v>
      </c>
      <c r="M1597" s="1" t="str">
        <f>IF(ISBLANK(Data[[#This Row],[EndDate]]),"Active","InActive")</f>
        <v>Active</v>
      </c>
      <c r="N1597" t="s">
        <v>20</v>
      </c>
      <c r="O1597" t="s">
        <v>77</v>
      </c>
      <c r="P1597" t="s">
        <v>40</v>
      </c>
      <c r="Q1597" s="2">
        <v>103250</v>
      </c>
    </row>
    <row r="1598" spans="1:17" x14ac:dyDescent="0.2">
      <c r="A1598" s="1">
        <v>42705</v>
      </c>
      <c r="B1598">
        <v>92018</v>
      </c>
      <c r="C1598" t="s">
        <v>79</v>
      </c>
      <c r="D1598" t="s">
        <v>43</v>
      </c>
      <c r="E1598" t="s">
        <v>66</v>
      </c>
      <c r="F1598" s="5">
        <v>59</v>
      </c>
      <c r="G1598" t="str">
        <f>IF(Data[[#This Row],[Age]]&lt;25,"Under 25",IF(Data[[#This Row],[Age]]&lt;35,"25–34",IF(Data[[#This Row],[Age]]&lt;45,"35–44",IF(Data[[#This Row],[Age]]&lt;55,"45–54","55+"))))</f>
        <v>55+</v>
      </c>
      <c r="H1598" t="s">
        <v>31</v>
      </c>
      <c r="I1598" t="s">
        <v>56</v>
      </c>
      <c r="J1598" t="s">
        <v>19</v>
      </c>
      <c r="K1598" s="1">
        <v>41220</v>
      </c>
      <c r="M1598" s="1" t="str">
        <f>IF(ISBLANK(Data[[#This Row],[EndDate]]),"Active","InActive")</f>
        <v>Active</v>
      </c>
      <c r="N1598" t="s">
        <v>57</v>
      </c>
      <c r="O1598" t="s">
        <v>77</v>
      </c>
      <c r="P1598" t="s">
        <v>22</v>
      </c>
      <c r="Q1598" s="2">
        <v>107970</v>
      </c>
    </row>
    <row r="1599" spans="1:17" x14ac:dyDescent="0.2">
      <c r="A1599" s="1">
        <v>42705</v>
      </c>
      <c r="B1599">
        <v>92258</v>
      </c>
      <c r="C1599" t="s">
        <v>79</v>
      </c>
      <c r="D1599" t="s">
        <v>38</v>
      </c>
      <c r="E1599" t="s">
        <v>39</v>
      </c>
      <c r="F1599" s="5">
        <v>59</v>
      </c>
      <c r="G1599" t="str">
        <f>IF(Data[[#This Row],[Age]]&lt;25,"Under 25",IF(Data[[#This Row],[Age]]&lt;35,"25–34",IF(Data[[#This Row],[Age]]&lt;45,"35–44",IF(Data[[#This Row],[Age]]&lt;55,"45–54","55+"))))</f>
        <v>55+</v>
      </c>
      <c r="H1599" t="s">
        <v>59</v>
      </c>
      <c r="I1599" t="s">
        <v>56</v>
      </c>
      <c r="J1599" t="s">
        <v>19</v>
      </c>
      <c r="K1599" s="1">
        <v>40890</v>
      </c>
      <c r="M1599" s="1" t="str">
        <f>IF(ISBLANK(Data[[#This Row],[EndDate]]),"Active","InActive")</f>
        <v>Active</v>
      </c>
      <c r="N1599" t="s">
        <v>57</v>
      </c>
      <c r="O1599" t="s">
        <v>77</v>
      </c>
      <c r="P1599" t="s">
        <v>22</v>
      </c>
      <c r="Q1599" s="2">
        <v>46492</v>
      </c>
    </row>
    <row r="1600" spans="1:17" x14ac:dyDescent="0.2">
      <c r="A1600" s="1">
        <v>43070</v>
      </c>
      <c r="B1600">
        <v>43438</v>
      </c>
      <c r="C1600" t="s">
        <v>80</v>
      </c>
      <c r="D1600" t="s">
        <v>41</v>
      </c>
      <c r="E1600" t="s">
        <v>62</v>
      </c>
      <c r="F1600" s="5">
        <v>59</v>
      </c>
      <c r="G1600" t="str">
        <f>IF(Data[[#This Row],[Age]]&lt;25,"Under 25",IF(Data[[#This Row],[Age]]&lt;35,"25–34",IF(Data[[#This Row],[Age]]&lt;45,"35–44",IF(Data[[#This Row],[Age]]&lt;55,"45–54","55+"))))</f>
        <v>55+</v>
      </c>
      <c r="H1600" t="s">
        <v>17</v>
      </c>
      <c r="I1600" t="s">
        <v>56</v>
      </c>
      <c r="J1600" t="s">
        <v>37</v>
      </c>
      <c r="K1600" s="1">
        <v>41109</v>
      </c>
      <c r="M1600" s="1" t="str">
        <f>IF(ISBLANK(Data[[#This Row],[EndDate]]),"Active","InActive")</f>
        <v>Active</v>
      </c>
      <c r="N1600" t="s">
        <v>57</v>
      </c>
      <c r="O1600" t="s">
        <v>77</v>
      </c>
      <c r="P1600" t="s">
        <v>32</v>
      </c>
      <c r="Q1600" s="2">
        <v>86612</v>
      </c>
    </row>
    <row r="1601" spans="1:17" x14ac:dyDescent="0.2">
      <c r="A1601" s="1">
        <v>43070</v>
      </c>
      <c r="B1601">
        <v>43678</v>
      </c>
      <c r="C1601" t="s">
        <v>80</v>
      </c>
      <c r="D1601" t="s">
        <v>47</v>
      </c>
      <c r="E1601" t="s">
        <v>64</v>
      </c>
      <c r="F1601" s="5">
        <v>59</v>
      </c>
      <c r="G1601" t="str">
        <f>IF(Data[[#This Row],[Age]]&lt;25,"Under 25",IF(Data[[#This Row],[Age]]&lt;35,"25–34",IF(Data[[#This Row],[Age]]&lt;45,"35–44",IF(Data[[#This Row],[Age]]&lt;55,"45–54","55+"))))</f>
        <v>55+</v>
      </c>
      <c r="H1601" t="s">
        <v>49</v>
      </c>
      <c r="I1601" t="s">
        <v>56</v>
      </c>
      <c r="J1601" t="s">
        <v>37</v>
      </c>
      <c r="K1601" s="1">
        <v>39181</v>
      </c>
      <c r="M1601" s="1" t="str">
        <f>IF(ISBLANK(Data[[#This Row],[EndDate]]),"Active","InActive")</f>
        <v>Active</v>
      </c>
      <c r="N1601" t="s">
        <v>57</v>
      </c>
      <c r="O1601" t="s">
        <v>77</v>
      </c>
      <c r="P1601" t="s">
        <v>32</v>
      </c>
      <c r="Q1601" s="2">
        <v>117764</v>
      </c>
    </row>
    <row r="1602" spans="1:17" x14ac:dyDescent="0.2">
      <c r="A1602" s="1">
        <v>43070</v>
      </c>
      <c r="B1602">
        <v>97546</v>
      </c>
      <c r="C1602" t="s">
        <v>79</v>
      </c>
      <c r="D1602" t="s">
        <v>47</v>
      </c>
      <c r="E1602" t="s">
        <v>48</v>
      </c>
      <c r="F1602" s="5">
        <v>59</v>
      </c>
      <c r="G1602" t="str">
        <f>IF(Data[[#This Row],[Age]]&lt;25,"Under 25",IF(Data[[#This Row],[Age]]&lt;35,"25–34",IF(Data[[#This Row],[Age]]&lt;45,"35–44",IF(Data[[#This Row],[Age]]&lt;55,"45–54","55+"))))</f>
        <v>55+</v>
      </c>
      <c r="H1602" t="s">
        <v>34</v>
      </c>
      <c r="I1602" t="s">
        <v>56</v>
      </c>
      <c r="J1602" t="s">
        <v>19</v>
      </c>
      <c r="K1602" s="1">
        <v>37826</v>
      </c>
      <c r="M1602" s="1" t="str">
        <f>IF(ISBLANK(Data[[#This Row],[EndDate]]),"Active","InActive")</f>
        <v>Active</v>
      </c>
      <c r="N1602" t="s">
        <v>57</v>
      </c>
      <c r="O1602" t="s">
        <v>77</v>
      </c>
      <c r="P1602" t="s">
        <v>32</v>
      </c>
      <c r="Q1602" s="2">
        <v>101244</v>
      </c>
    </row>
    <row r="1603" spans="1:17" x14ac:dyDescent="0.2">
      <c r="A1603" s="1">
        <v>43435</v>
      </c>
      <c r="B1603">
        <v>42892</v>
      </c>
      <c r="C1603" t="s">
        <v>80</v>
      </c>
      <c r="D1603" t="s">
        <v>15</v>
      </c>
      <c r="E1603" t="s">
        <v>70</v>
      </c>
      <c r="F1603" s="5">
        <v>59</v>
      </c>
      <c r="G1603" t="str">
        <f>IF(Data[[#This Row],[Age]]&lt;25,"Under 25",IF(Data[[#This Row],[Age]]&lt;35,"25–34",IF(Data[[#This Row],[Age]]&lt;45,"35–44",IF(Data[[#This Row],[Age]]&lt;55,"45–54","55+"))))</f>
        <v>55+</v>
      </c>
      <c r="H1603" t="s">
        <v>17</v>
      </c>
      <c r="I1603" t="s">
        <v>56</v>
      </c>
      <c r="J1603" t="s">
        <v>35</v>
      </c>
      <c r="K1603" s="1">
        <v>39252</v>
      </c>
      <c r="M1603" s="1" t="str">
        <f>IF(ISBLANK(Data[[#This Row],[EndDate]]),"Active","InActive")</f>
        <v>Active</v>
      </c>
      <c r="N1603" t="s">
        <v>57</v>
      </c>
      <c r="O1603" t="s">
        <v>77</v>
      </c>
      <c r="P1603" t="s">
        <v>40</v>
      </c>
      <c r="Q1603" s="2">
        <v>95462</v>
      </c>
    </row>
    <row r="1604" spans="1:17" x14ac:dyDescent="0.2">
      <c r="A1604" s="1">
        <v>43435</v>
      </c>
      <c r="B1604">
        <v>50438</v>
      </c>
      <c r="C1604" t="s">
        <v>79</v>
      </c>
      <c r="D1604" t="s">
        <v>38</v>
      </c>
      <c r="E1604" t="s">
        <v>61</v>
      </c>
      <c r="F1604" s="5">
        <v>59</v>
      </c>
      <c r="G1604" t="str">
        <f>IF(Data[[#This Row],[Age]]&lt;25,"Under 25",IF(Data[[#This Row],[Age]]&lt;35,"25–34",IF(Data[[#This Row],[Age]]&lt;45,"35–44",IF(Data[[#This Row],[Age]]&lt;55,"45–54","55+"))))</f>
        <v>55+</v>
      </c>
      <c r="H1604" t="s">
        <v>17</v>
      </c>
      <c r="I1604" t="s">
        <v>56</v>
      </c>
      <c r="J1604" t="s">
        <v>26</v>
      </c>
      <c r="K1604" s="1">
        <v>38440</v>
      </c>
      <c r="M1604" s="1" t="str">
        <f>IF(ISBLANK(Data[[#This Row],[EndDate]]),"Active","InActive")</f>
        <v>Active</v>
      </c>
      <c r="N1604" t="s">
        <v>57</v>
      </c>
      <c r="O1604" t="s">
        <v>77</v>
      </c>
      <c r="P1604" t="s">
        <v>40</v>
      </c>
      <c r="Q1604" s="2">
        <v>64074</v>
      </c>
    </row>
    <row r="1605" spans="1:17" x14ac:dyDescent="0.2">
      <c r="A1605" s="1">
        <v>43435</v>
      </c>
      <c r="B1605">
        <v>92166</v>
      </c>
      <c r="C1605" t="s">
        <v>79</v>
      </c>
      <c r="D1605" t="s">
        <v>15</v>
      </c>
      <c r="E1605" t="s">
        <v>58</v>
      </c>
      <c r="F1605" s="5">
        <v>59</v>
      </c>
      <c r="G1605" t="str">
        <f>IF(Data[[#This Row],[Age]]&lt;25,"Under 25",IF(Data[[#This Row],[Age]]&lt;35,"25–34",IF(Data[[#This Row],[Age]]&lt;45,"35–44",IF(Data[[#This Row],[Age]]&lt;55,"45–54","55+"))))</f>
        <v>55+</v>
      </c>
      <c r="H1605" t="s">
        <v>31</v>
      </c>
      <c r="I1605" t="s">
        <v>56</v>
      </c>
      <c r="J1605" t="s">
        <v>19</v>
      </c>
      <c r="K1605" s="1">
        <v>38734</v>
      </c>
      <c r="M1605" s="1" t="str">
        <f>IF(ISBLANK(Data[[#This Row],[EndDate]]),"Active","InActive")</f>
        <v>Active</v>
      </c>
      <c r="N1605" t="s">
        <v>57</v>
      </c>
      <c r="O1605" t="s">
        <v>77</v>
      </c>
      <c r="P1605" t="s">
        <v>40</v>
      </c>
      <c r="Q1605" s="2">
        <v>102306</v>
      </c>
    </row>
    <row r="1606" spans="1:17" x14ac:dyDescent="0.2">
      <c r="A1606" s="1">
        <v>42705</v>
      </c>
      <c r="B1606">
        <v>100288</v>
      </c>
      <c r="C1606" t="s">
        <v>80</v>
      </c>
      <c r="D1606" t="s">
        <v>27</v>
      </c>
      <c r="E1606" t="s">
        <v>72</v>
      </c>
      <c r="F1606" s="5">
        <v>59</v>
      </c>
      <c r="G1606" t="str">
        <f>IF(Data[[#This Row],[Age]]&lt;25,"Under 25",IF(Data[[#This Row],[Age]]&lt;35,"25–34",IF(Data[[#This Row],[Age]]&lt;45,"35–44",IF(Data[[#This Row],[Age]]&lt;55,"45–54","55+"))))</f>
        <v>55+</v>
      </c>
      <c r="H1606" t="s">
        <v>59</v>
      </c>
      <c r="I1606" t="s">
        <v>18</v>
      </c>
      <c r="J1606" t="s">
        <v>37</v>
      </c>
      <c r="K1606" s="1">
        <v>41270</v>
      </c>
      <c r="M1606" s="1" t="str">
        <f>IF(ISBLANK(Data[[#This Row],[EndDate]]),"Active","InActive")</f>
        <v>Active</v>
      </c>
      <c r="N1606" t="s">
        <v>20</v>
      </c>
      <c r="O1606" t="s">
        <v>77</v>
      </c>
      <c r="P1606" t="s">
        <v>22</v>
      </c>
      <c r="Q1606" s="2">
        <v>29500</v>
      </c>
    </row>
    <row r="1607" spans="1:17" x14ac:dyDescent="0.2">
      <c r="A1607" s="1">
        <v>43435</v>
      </c>
      <c r="B1607">
        <v>91868</v>
      </c>
      <c r="C1607" t="s">
        <v>80</v>
      </c>
      <c r="D1607" t="s">
        <v>41</v>
      </c>
      <c r="E1607" t="s">
        <v>68</v>
      </c>
      <c r="F1607" s="5">
        <v>60</v>
      </c>
      <c r="G1607" t="str">
        <f>IF(Data[[#This Row],[Age]]&lt;25,"Under 25",IF(Data[[#This Row],[Age]]&lt;35,"25–34",IF(Data[[#This Row],[Age]]&lt;45,"35–44",IF(Data[[#This Row],[Age]]&lt;55,"45–54","55+"))))</f>
        <v>55+</v>
      </c>
      <c r="H1607" t="s">
        <v>31</v>
      </c>
      <c r="I1607" t="s">
        <v>56</v>
      </c>
      <c r="J1607" t="s">
        <v>19</v>
      </c>
      <c r="K1607" s="1">
        <v>41828</v>
      </c>
      <c r="M1607" s="1" t="str">
        <f>IF(ISBLANK(Data[[#This Row],[EndDate]]),"Active","InActive")</f>
        <v>Active</v>
      </c>
      <c r="N1607" t="s">
        <v>57</v>
      </c>
      <c r="O1607" t="s">
        <v>77</v>
      </c>
      <c r="P1607" t="s">
        <v>40</v>
      </c>
      <c r="Q1607" s="2">
        <v>117840</v>
      </c>
    </row>
    <row r="1608" spans="1:17" x14ac:dyDescent="0.2">
      <c r="A1608" s="1">
        <v>42705</v>
      </c>
      <c r="B1608">
        <v>42708</v>
      </c>
      <c r="C1608" t="s">
        <v>80</v>
      </c>
      <c r="D1608" t="s">
        <v>38</v>
      </c>
      <c r="E1608" t="s">
        <v>39</v>
      </c>
      <c r="F1608" s="5">
        <v>60</v>
      </c>
      <c r="G1608" t="str">
        <f>IF(Data[[#This Row],[Age]]&lt;25,"Under 25",IF(Data[[#This Row],[Age]]&lt;35,"25–34",IF(Data[[#This Row],[Age]]&lt;45,"35–44",IF(Data[[#This Row],[Age]]&lt;55,"45–54","55+"))))</f>
        <v>55+</v>
      </c>
      <c r="H1608" t="s">
        <v>34</v>
      </c>
      <c r="I1608" t="s">
        <v>18</v>
      </c>
      <c r="J1608" t="s">
        <v>35</v>
      </c>
      <c r="K1608" s="1">
        <v>40843</v>
      </c>
      <c r="M1608" s="1" t="str">
        <f>IF(ISBLANK(Data[[#This Row],[EndDate]]),"Active","InActive")</f>
        <v>Active</v>
      </c>
      <c r="N1608" t="s">
        <v>20</v>
      </c>
      <c r="O1608" t="s">
        <v>77</v>
      </c>
      <c r="P1608" t="s">
        <v>22</v>
      </c>
      <c r="Q1608" s="2">
        <v>39600</v>
      </c>
    </row>
    <row r="1609" spans="1:17" x14ac:dyDescent="0.2">
      <c r="A1609" s="1">
        <v>43070</v>
      </c>
      <c r="B1609">
        <v>28262</v>
      </c>
      <c r="C1609" t="s">
        <v>80</v>
      </c>
      <c r="D1609" t="s">
        <v>41</v>
      </c>
      <c r="E1609" t="s">
        <v>68</v>
      </c>
      <c r="F1609" s="5">
        <v>60</v>
      </c>
      <c r="G1609" t="str">
        <f>IF(Data[[#This Row],[Age]]&lt;25,"Under 25",IF(Data[[#This Row],[Age]]&lt;35,"25–34",IF(Data[[#This Row],[Age]]&lt;45,"35–44",IF(Data[[#This Row],[Age]]&lt;55,"45–54","55+"))))</f>
        <v>55+</v>
      </c>
      <c r="H1609" t="s">
        <v>46</v>
      </c>
      <c r="I1609" t="s">
        <v>18</v>
      </c>
      <c r="J1609" t="s">
        <v>35</v>
      </c>
      <c r="K1609" s="1">
        <v>41579</v>
      </c>
      <c r="M1609" s="1" t="str">
        <f>IF(ISBLANK(Data[[#This Row],[EndDate]]),"Active","InActive")</f>
        <v>Active</v>
      </c>
      <c r="N1609" t="s">
        <v>20</v>
      </c>
      <c r="O1609" t="s">
        <v>77</v>
      </c>
      <c r="P1609" t="s">
        <v>32</v>
      </c>
      <c r="Q1609" s="2">
        <v>72960</v>
      </c>
    </row>
    <row r="1610" spans="1:17" x14ac:dyDescent="0.2">
      <c r="A1610" s="1">
        <v>43070</v>
      </c>
      <c r="B1610">
        <v>52332</v>
      </c>
      <c r="C1610" t="s">
        <v>80</v>
      </c>
      <c r="D1610" t="s">
        <v>38</v>
      </c>
      <c r="E1610" t="s">
        <v>39</v>
      </c>
      <c r="F1610" s="5">
        <v>60</v>
      </c>
      <c r="G1610" t="str">
        <f>IF(Data[[#This Row],[Age]]&lt;25,"Under 25",IF(Data[[#This Row],[Age]]&lt;35,"25–34",IF(Data[[#This Row],[Age]]&lt;45,"35–44",IF(Data[[#This Row],[Age]]&lt;55,"45–54","55+"))))</f>
        <v>55+</v>
      </c>
      <c r="H1610" t="s">
        <v>59</v>
      </c>
      <c r="I1610" t="s">
        <v>18</v>
      </c>
      <c r="J1610" t="s">
        <v>35</v>
      </c>
      <c r="K1610" s="1">
        <v>37278</v>
      </c>
      <c r="M1610" s="1" t="str">
        <f>IF(ISBLANK(Data[[#This Row],[EndDate]]),"Active","InActive")</f>
        <v>Active</v>
      </c>
      <c r="N1610" t="s">
        <v>20</v>
      </c>
      <c r="O1610" t="s">
        <v>77</v>
      </c>
      <c r="P1610" t="s">
        <v>32</v>
      </c>
      <c r="Q1610" s="2">
        <v>75480</v>
      </c>
    </row>
    <row r="1611" spans="1:17" x14ac:dyDescent="0.2">
      <c r="A1611" s="1">
        <v>43435</v>
      </c>
      <c r="B1611">
        <v>51812</v>
      </c>
      <c r="C1611" t="s">
        <v>80</v>
      </c>
      <c r="D1611" t="s">
        <v>29</v>
      </c>
      <c r="E1611" t="s">
        <v>33</v>
      </c>
      <c r="F1611" s="5">
        <v>60</v>
      </c>
      <c r="G1611" t="str">
        <f>IF(Data[[#This Row],[Age]]&lt;25,"Under 25",IF(Data[[#This Row],[Age]]&lt;35,"25–34",IF(Data[[#This Row],[Age]]&lt;45,"35–44",IF(Data[[#This Row],[Age]]&lt;55,"45–54","55+"))))</f>
        <v>55+</v>
      </c>
      <c r="H1611" t="s">
        <v>34</v>
      </c>
      <c r="I1611" t="s">
        <v>18</v>
      </c>
      <c r="J1611" t="s">
        <v>26</v>
      </c>
      <c r="K1611" s="1">
        <v>41593</v>
      </c>
      <c r="M1611" s="1" t="str">
        <f>IF(ISBLANK(Data[[#This Row],[EndDate]]),"Active","InActive")</f>
        <v>Active</v>
      </c>
      <c r="N1611" t="s">
        <v>20</v>
      </c>
      <c r="O1611" t="s">
        <v>77</v>
      </c>
      <c r="P1611" t="s">
        <v>40</v>
      </c>
      <c r="Q1611" s="2">
        <v>32760</v>
      </c>
    </row>
    <row r="1612" spans="1:17" x14ac:dyDescent="0.2">
      <c r="A1612" s="1">
        <v>42705</v>
      </c>
      <c r="B1612">
        <v>49716</v>
      </c>
      <c r="C1612" t="s">
        <v>79</v>
      </c>
      <c r="D1612" t="s">
        <v>29</v>
      </c>
      <c r="E1612" t="s">
        <v>33</v>
      </c>
      <c r="F1612" s="5">
        <v>60</v>
      </c>
      <c r="G1612" t="str">
        <f>IF(Data[[#This Row],[Age]]&lt;25,"Under 25",IF(Data[[#This Row],[Age]]&lt;35,"25–34",IF(Data[[#This Row],[Age]]&lt;45,"35–44",IF(Data[[#This Row],[Age]]&lt;55,"45–54","55+"))))</f>
        <v>55+</v>
      </c>
      <c r="H1612" t="s">
        <v>34</v>
      </c>
      <c r="I1612" t="s">
        <v>56</v>
      </c>
      <c r="J1612" t="s">
        <v>35</v>
      </c>
      <c r="K1612" s="1">
        <v>39290</v>
      </c>
      <c r="M1612" s="1" t="str">
        <f>IF(ISBLANK(Data[[#This Row],[EndDate]]),"Active","InActive")</f>
        <v>Active</v>
      </c>
      <c r="N1612" t="s">
        <v>57</v>
      </c>
      <c r="O1612" t="s">
        <v>77</v>
      </c>
      <c r="P1612" t="s">
        <v>22</v>
      </c>
      <c r="Q1612" s="2">
        <v>45000</v>
      </c>
    </row>
    <row r="1613" spans="1:17" x14ac:dyDescent="0.2">
      <c r="A1613" s="1">
        <v>42705</v>
      </c>
      <c r="B1613">
        <v>53992</v>
      </c>
      <c r="C1613" t="s">
        <v>79</v>
      </c>
      <c r="D1613" t="s">
        <v>43</v>
      </c>
      <c r="E1613" t="s">
        <v>66</v>
      </c>
      <c r="F1613" s="5">
        <v>60</v>
      </c>
      <c r="G1613" t="str">
        <f>IF(Data[[#This Row],[Age]]&lt;25,"Under 25",IF(Data[[#This Row],[Age]]&lt;35,"25–34",IF(Data[[#This Row],[Age]]&lt;45,"35–44",IF(Data[[#This Row],[Age]]&lt;55,"45–54","55+"))))</f>
        <v>55+</v>
      </c>
      <c r="H1613" t="s">
        <v>31</v>
      </c>
      <c r="I1613" t="s">
        <v>56</v>
      </c>
      <c r="J1613" t="s">
        <v>26</v>
      </c>
      <c r="K1613" s="1">
        <v>39136</v>
      </c>
      <c r="M1613" s="1" t="str">
        <f>IF(ISBLANK(Data[[#This Row],[EndDate]]),"Active","InActive")</f>
        <v>Active</v>
      </c>
      <c r="N1613" t="s">
        <v>57</v>
      </c>
      <c r="O1613" t="s">
        <v>77</v>
      </c>
      <c r="P1613" t="s">
        <v>22</v>
      </c>
      <c r="Q1613" s="2">
        <v>57480</v>
      </c>
    </row>
    <row r="1614" spans="1:17" x14ac:dyDescent="0.2">
      <c r="A1614" s="1">
        <v>42705</v>
      </c>
      <c r="B1614">
        <v>55632</v>
      </c>
      <c r="C1614" t="s">
        <v>79</v>
      </c>
      <c r="D1614" t="s">
        <v>27</v>
      </c>
      <c r="E1614" t="s">
        <v>72</v>
      </c>
      <c r="F1614" s="5">
        <v>60</v>
      </c>
      <c r="G1614" t="str">
        <f>IF(Data[[#This Row],[Age]]&lt;25,"Under 25",IF(Data[[#This Row],[Age]]&lt;35,"25–34",IF(Data[[#This Row],[Age]]&lt;45,"35–44",IF(Data[[#This Row],[Age]]&lt;55,"45–54","55+"))))</f>
        <v>55+</v>
      </c>
      <c r="H1614" t="s">
        <v>46</v>
      </c>
      <c r="I1614" t="s">
        <v>56</v>
      </c>
      <c r="J1614" t="s">
        <v>37</v>
      </c>
      <c r="K1614" s="1">
        <v>40799</v>
      </c>
      <c r="M1614" s="1" t="str">
        <f>IF(ISBLANK(Data[[#This Row],[EndDate]]),"Active","InActive")</f>
        <v>Active</v>
      </c>
      <c r="N1614" t="s">
        <v>57</v>
      </c>
      <c r="O1614" t="s">
        <v>77</v>
      </c>
      <c r="P1614" t="s">
        <v>22</v>
      </c>
      <c r="Q1614" s="2">
        <v>33720</v>
      </c>
    </row>
    <row r="1615" spans="1:17" x14ac:dyDescent="0.2">
      <c r="A1615" s="1">
        <v>42705</v>
      </c>
      <c r="B1615">
        <v>92366</v>
      </c>
      <c r="C1615" t="s">
        <v>79</v>
      </c>
      <c r="D1615" t="s">
        <v>27</v>
      </c>
      <c r="E1615" t="s">
        <v>74</v>
      </c>
      <c r="F1615" s="5">
        <v>60</v>
      </c>
      <c r="G1615" t="str">
        <f>IF(Data[[#This Row],[Age]]&lt;25,"Under 25",IF(Data[[#This Row],[Age]]&lt;35,"25–34",IF(Data[[#This Row],[Age]]&lt;45,"35–44",IF(Data[[#This Row],[Age]]&lt;55,"45–54","55+"))))</f>
        <v>55+</v>
      </c>
      <c r="H1615" t="s">
        <v>25</v>
      </c>
      <c r="I1615" t="s">
        <v>56</v>
      </c>
      <c r="J1615" t="s">
        <v>19</v>
      </c>
      <c r="K1615" s="1">
        <v>38811</v>
      </c>
      <c r="M1615" s="1" t="str">
        <f>IF(ISBLANK(Data[[#This Row],[EndDate]]),"Active","InActive")</f>
        <v>Active</v>
      </c>
      <c r="N1615" t="s">
        <v>57</v>
      </c>
      <c r="O1615" t="s">
        <v>77</v>
      </c>
      <c r="P1615" t="s">
        <v>22</v>
      </c>
      <c r="Q1615" s="2">
        <v>115920</v>
      </c>
    </row>
    <row r="1616" spans="1:17" x14ac:dyDescent="0.2">
      <c r="A1616" s="1">
        <v>43070</v>
      </c>
      <c r="B1616">
        <v>92018</v>
      </c>
      <c r="C1616" t="s">
        <v>79</v>
      </c>
      <c r="D1616" t="s">
        <v>43</v>
      </c>
      <c r="E1616" t="s">
        <v>66</v>
      </c>
      <c r="F1616" s="5">
        <v>60</v>
      </c>
      <c r="G1616" t="str">
        <f>IF(Data[[#This Row],[Age]]&lt;25,"Under 25",IF(Data[[#This Row],[Age]]&lt;35,"25–34",IF(Data[[#This Row],[Age]]&lt;45,"35–44",IF(Data[[#This Row],[Age]]&lt;55,"45–54","55+"))))</f>
        <v>55+</v>
      </c>
      <c r="H1616" t="s">
        <v>31</v>
      </c>
      <c r="I1616" t="s">
        <v>56</v>
      </c>
      <c r="J1616" t="s">
        <v>19</v>
      </c>
      <c r="K1616" s="1">
        <v>41220</v>
      </c>
      <c r="M1616" s="1" t="str">
        <f>IF(ISBLANK(Data[[#This Row],[EndDate]]),"Active","InActive")</f>
        <v>Active</v>
      </c>
      <c r="N1616" t="s">
        <v>57</v>
      </c>
      <c r="O1616" t="s">
        <v>77</v>
      </c>
      <c r="P1616" t="s">
        <v>32</v>
      </c>
      <c r="Q1616" s="2">
        <v>75000</v>
      </c>
    </row>
    <row r="1617" spans="1:17" x14ac:dyDescent="0.2">
      <c r="A1617" s="1">
        <v>43070</v>
      </c>
      <c r="B1617">
        <v>92258</v>
      </c>
      <c r="C1617" t="s">
        <v>79</v>
      </c>
      <c r="D1617" t="s">
        <v>38</v>
      </c>
      <c r="E1617" t="s">
        <v>39</v>
      </c>
      <c r="F1617" s="5">
        <v>60</v>
      </c>
      <c r="G1617" t="str">
        <f>IF(Data[[#This Row],[Age]]&lt;25,"Under 25",IF(Data[[#This Row],[Age]]&lt;35,"25–34",IF(Data[[#This Row],[Age]]&lt;45,"35–44",IF(Data[[#This Row],[Age]]&lt;55,"45–54","55+"))))</f>
        <v>55+</v>
      </c>
      <c r="H1617" t="s">
        <v>59</v>
      </c>
      <c r="I1617" t="s">
        <v>56</v>
      </c>
      <c r="J1617" t="s">
        <v>19</v>
      </c>
      <c r="K1617" s="1">
        <v>40890</v>
      </c>
      <c r="M1617" s="1" t="str">
        <f>IF(ISBLANK(Data[[#This Row],[EndDate]]),"Active","InActive")</f>
        <v>Active</v>
      </c>
      <c r="N1617" t="s">
        <v>57</v>
      </c>
      <c r="O1617" t="s">
        <v>77</v>
      </c>
      <c r="P1617" t="s">
        <v>32</v>
      </c>
      <c r="Q1617" s="2">
        <v>84480</v>
      </c>
    </row>
    <row r="1618" spans="1:17" x14ac:dyDescent="0.2">
      <c r="A1618" s="1">
        <v>43435</v>
      </c>
      <c r="B1618">
        <v>43438</v>
      </c>
      <c r="C1618" t="s">
        <v>80</v>
      </c>
      <c r="D1618" t="s">
        <v>41</v>
      </c>
      <c r="E1618" t="s">
        <v>62</v>
      </c>
      <c r="F1618" s="5">
        <v>60</v>
      </c>
      <c r="G1618" t="str">
        <f>IF(Data[[#This Row],[Age]]&lt;25,"Under 25",IF(Data[[#This Row],[Age]]&lt;35,"25–34",IF(Data[[#This Row],[Age]]&lt;45,"35–44",IF(Data[[#This Row],[Age]]&lt;55,"45–54","55+"))))</f>
        <v>55+</v>
      </c>
      <c r="H1618" t="s">
        <v>17</v>
      </c>
      <c r="I1618" t="s">
        <v>56</v>
      </c>
      <c r="J1618" t="s">
        <v>37</v>
      </c>
      <c r="K1618" s="1">
        <v>41109</v>
      </c>
      <c r="L1618" s="1">
        <v>41229</v>
      </c>
      <c r="M1618" s="1" t="str">
        <f>IF(ISBLANK(Data[[#This Row],[EndDate]]),"Active","InActive")</f>
        <v>InActive</v>
      </c>
      <c r="N1618" t="s">
        <v>57</v>
      </c>
      <c r="O1618" t="s">
        <v>77</v>
      </c>
      <c r="P1618" t="s">
        <v>40</v>
      </c>
      <c r="Q1618" s="2">
        <v>120000</v>
      </c>
    </row>
    <row r="1619" spans="1:17" x14ac:dyDescent="0.2">
      <c r="A1619" s="1">
        <v>43435</v>
      </c>
      <c r="B1619">
        <v>43678</v>
      </c>
      <c r="C1619" t="s">
        <v>80</v>
      </c>
      <c r="D1619" t="s">
        <v>47</v>
      </c>
      <c r="E1619" t="s">
        <v>64</v>
      </c>
      <c r="F1619" s="5">
        <v>60</v>
      </c>
      <c r="G1619" t="str">
        <f>IF(Data[[#This Row],[Age]]&lt;25,"Under 25",IF(Data[[#This Row],[Age]]&lt;35,"25–34",IF(Data[[#This Row],[Age]]&lt;45,"35–44",IF(Data[[#This Row],[Age]]&lt;55,"45–54","55+"))))</f>
        <v>55+</v>
      </c>
      <c r="H1619" t="s">
        <v>49</v>
      </c>
      <c r="I1619" t="s">
        <v>56</v>
      </c>
      <c r="J1619" t="s">
        <v>37</v>
      </c>
      <c r="K1619" s="1">
        <v>39181</v>
      </c>
      <c r="M1619" s="1" t="str">
        <f>IF(ISBLANK(Data[[#This Row],[EndDate]]),"Active","InActive")</f>
        <v>Active</v>
      </c>
      <c r="N1619" t="s">
        <v>57</v>
      </c>
      <c r="O1619" t="s">
        <v>77</v>
      </c>
      <c r="P1619" t="s">
        <v>40</v>
      </c>
      <c r="Q1619" s="2">
        <v>100200</v>
      </c>
    </row>
    <row r="1620" spans="1:17" x14ac:dyDescent="0.2">
      <c r="A1620" s="1">
        <v>43435</v>
      </c>
      <c r="B1620">
        <v>97546</v>
      </c>
      <c r="C1620" t="s">
        <v>79</v>
      </c>
      <c r="D1620" t="s">
        <v>47</v>
      </c>
      <c r="E1620" t="s">
        <v>48</v>
      </c>
      <c r="F1620" s="5">
        <v>60</v>
      </c>
      <c r="G1620" t="str">
        <f>IF(Data[[#This Row],[Age]]&lt;25,"Under 25",IF(Data[[#This Row],[Age]]&lt;35,"25–34",IF(Data[[#This Row],[Age]]&lt;45,"35–44",IF(Data[[#This Row],[Age]]&lt;55,"45–54","55+"))))</f>
        <v>55+</v>
      </c>
      <c r="H1620" t="s">
        <v>34</v>
      </c>
      <c r="I1620" t="s">
        <v>56</v>
      </c>
      <c r="J1620" t="s">
        <v>19</v>
      </c>
      <c r="K1620" s="1">
        <v>37826</v>
      </c>
      <c r="M1620" s="1" t="str">
        <f>IF(ISBLANK(Data[[#This Row],[EndDate]]),"Active","InActive")</f>
        <v>Active</v>
      </c>
      <c r="N1620" t="s">
        <v>57</v>
      </c>
      <c r="O1620" t="s">
        <v>77</v>
      </c>
      <c r="P1620" t="s">
        <v>40</v>
      </c>
      <c r="Q1620" s="2">
        <v>103800</v>
      </c>
    </row>
    <row r="1621" spans="1:17" x14ac:dyDescent="0.2">
      <c r="A1621" s="1">
        <v>42705</v>
      </c>
      <c r="B1621">
        <v>44044</v>
      </c>
      <c r="C1621" t="s">
        <v>80</v>
      </c>
      <c r="D1621" t="s">
        <v>15</v>
      </c>
      <c r="E1621" t="s">
        <v>58</v>
      </c>
      <c r="F1621" s="5">
        <v>61</v>
      </c>
      <c r="G1621" t="str">
        <f>IF(Data[[#This Row],[Age]]&lt;25,"Under 25",IF(Data[[#This Row],[Age]]&lt;35,"25–34",IF(Data[[#This Row],[Age]]&lt;45,"35–44",IF(Data[[#This Row],[Age]]&lt;55,"45–54","55+"))))</f>
        <v>55+</v>
      </c>
      <c r="H1621" t="s">
        <v>49</v>
      </c>
      <c r="I1621" t="s">
        <v>18</v>
      </c>
      <c r="J1621" t="s">
        <v>37</v>
      </c>
      <c r="K1621" s="1">
        <v>39126</v>
      </c>
      <c r="M1621" s="1" t="str">
        <f>IF(ISBLANK(Data[[#This Row],[EndDate]]),"Active","InActive")</f>
        <v>Active</v>
      </c>
      <c r="N1621" t="s">
        <v>20</v>
      </c>
      <c r="O1621" t="s">
        <v>77</v>
      </c>
      <c r="P1621" t="s">
        <v>22</v>
      </c>
      <c r="Q1621" s="2">
        <v>38064</v>
      </c>
    </row>
    <row r="1622" spans="1:17" x14ac:dyDescent="0.2">
      <c r="A1622" s="1">
        <v>43070</v>
      </c>
      <c r="B1622">
        <v>42708</v>
      </c>
      <c r="C1622" t="s">
        <v>80</v>
      </c>
      <c r="D1622" t="s">
        <v>38</v>
      </c>
      <c r="E1622" t="s">
        <v>39</v>
      </c>
      <c r="F1622" s="5">
        <v>61</v>
      </c>
      <c r="G1622" t="str">
        <f>IF(Data[[#This Row],[Age]]&lt;25,"Under 25",IF(Data[[#This Row],[Age]]&lt;35,"25–34",IF(Data[[#This Row],[Age]]&lt;45,"35–44",IF(Data[[#This Row],[Age]]&lt;55,"45–54","55+"))))</f>
        <v>55+</v>
      </c>
      <c r="H1622" t="s">
        <v>34</v>
      </c>
      <c r="I1622" t="s">
        <v>18</v>
      </c>
      <c r="J1622" t="s">
        <v>35</v>
      </c>
      <c r="K1622" s="1">
        <v>40843</v>
      </c>
      <c r="M1622" s="1" t="str">
        <f>IF(ISBLANK(Data[[#This Row],[EndDate]]),"Active","InActive")</f>
        <v>Active</v>
      </c>
      <c r="N1622" t="s">
        <v>20</v>
      </c>
      <c r="O1622" t="s">
        <v>77</v>
      </c>
      <c r="P1622" t="s">
        <v>32</v>
      </c>
      <c r="Q1622" s="2">
        <v>70638</v>
      </c>
    </row>
    <row r="1623" spans="1:17" x14ac:dyDescent="0.2">
      <c r="A1623" s="1">
        <v>43435</v>
      </c>
      <c r="B1623">
        <v>43614</v>
      </c>
      <c r="C1623" t="s">
        <v>80</v>
      </c>
      <c r="D1623" t="s">
        <v>43</v>
      </c>
      <c r="E1623" t="s">
        <v>60</v>
      </c>
      <c r="F1623" s="5">
        <v>61</v>
      </c>
      <c r="G1623" t="str">
        <f>IF(Data[[#This Row],[Age]]&lt;25,"Under 25",IF(Data[[#This Row],[Age]]&lt;35,"25–34",IF(Data[[#This Row],[Age]]&lt;45,"35–44",IF(Data[[#This Row],[Age]]&lt;55,"45–54","55+"))))</f>
        <v>55+</v>
      </c>
      <c r="H1623" t="s">
        <v>25</v>
      </c>
      <c r="I1623" t="s">
        <v>18</v>
      </c>
      <c r="J1623" t="s">
        <v>37</v>
      </c>
      <c r="K1623" s="1">
        <v>41724</v>
      </c>
      <c r="M1623" s="1" t="str">
        <f>IF(ISBLANK(Data[[#This Row],[EndDate]]),"Active","InActive")</f>
        <v>Active</v>
      </c>
      <c r="N1623" t="s">
        <v>20</v>
      </c>
      <c r="O1623" t="s">
        <v>77</v>
      </c>
      <c r="P1623" t="s">
        <v>40</v>
      </c>
      <c r="Q1623" s="2">
        <v>41968</v>
      </c>
    </row>
    <row r="1624" spans="1:17" x14ac:dyDescent="0.2">
      <c r="A1624" s="1">
        <v>43435</v>
      </c>
      <c r="B1624">
        <v>50814</v>
      </c>
      <c r="C1624" t="s">
        <v>80</v>
      </c>
      <c r="D1624" t="s">
        <v>41</v>
      </c>
      <c r="E1624" t="s">
        <v>42</v>
      </c>
      <c r="F1624" s="5">
        <v>61</v>
      </c>
      <c r="G1624" t="str">
        <f>IF(Data[[#This Row],[Age]]&lt;25,"Under 25",IF(Data[[#This Row],[Age]]&lt;35,"25–34",IF(Data[[#This Row],[Age]]&lt;45,"35–44",IF(Data[[#This Row],[Age]]&lt;55,"45–54","55+"))))</f>
        <v>55+</v>
      </c>
      <c r="H1624" t="s">
        <v>49</v>
      </c>
      <c r="I1624" t="s">
        <v>18</v>
      </c>
      <c r="J1624" t="s">
        <v>37</v>
      </c>
      <c r="K1624" s="1">
        <v>41880</v>
      </c>
      <c r="M1624" s="1" t="str">
        <f>IF(ISBLANK(Data[[#This Row],[EndDate]]),"Active","InActive")</f>
        <v>Active</v>
      </c>
      <c r="N1624" t="s">
        <v>20</v>
      </c>
      <c r="O1624" t="s">
        <v>77</v>
      </c>
      <c r="P1624" t="s">
        <v>40</v>
      </c>
      <c r="Q1624" s="2">
        <v>75152</v>
      </c>
    </row>
    <row r="1625" spans="1:17" x14ac:dyDescent="0.2">
      <c r="A1625" s="1">
        <v>43435</v>
      </c>
      <c r="B1625">
        <v>52332</v>
      </c>
      <c r="C1625" t="s">
        <v>80</v>
      </c>
      <c r="D1625" t="s">
        <v>38</v>
      </c>
      <c r="E1625" t="s">
        <v>39</v>
      </c>
      <c r="F1625" s="5">
        <v>61</v>
      </c>
      <c r="G1625" t="str">
        <f>IF(Data[[#This Row],[Age]]&lt;25,"Under 25",IF(Data[[#This Row],[Age]]&lt;35,"25–34",IF(Data[[#This Row],[Age]]&lt;45,"35–44",IF(Data[[#This Row],[Age]]&lt;55,"45–54","55+"))))</f>
        <v>55+</v>
      </c>
      <c r="H1625" t="s">
        <v>59</v>
      </c>
      <c r="I1625" t="s">
        <v>18</v>
      </c>
      <c r="J1625" t="s">
        <v>35</v>
      </c>
      <c r="K1625" s="1">
        <v>37278</v>
      </c>
      <c r="M1625" s="1" t="str">
        <f>IF(ISBLANK(Data[[#This Row],[EndDate]]),"Active","InActive")</f>
        <v>Active</v>
      </c>
      <c r="N1625" t="s">
        <v>20</v>
      </c>
      <c r="O1625" t="s">
        <v>77</v>
      </c>
      <c r="P1625" t="s">
        <v>40</v>
      </c>
      <c r="Q1625" s="2">
        <v>34282</v>
      </c>
    </row>
    <row r="1626" spans="1:17" x14ac:dyDescent="0.2">
      <c r="A1626" s="1">
        <v>43435</v>
      </c>
      <c r="B1626">
        <v>55610</v>
      </c>
      <c r="C1626" t="s">
        <v>80</v>
      </c>
      <c r="D1626" t="s">
        <v>27</v>
      </c>
      <c r="E1626" t="s">
        <v>28</v>
      </c>
      <c r="F1626" s="5">
        <v>61</v>
      </c>
      <c r="G1626" t="str">
        <f>IF(Data[[#This Row],[Age]]&lt;25,"Under 25",IF(Data[[#This Row],[Age]]&lt;35,"25–34",IF(Data[[#This Row],[Age]]&lt;45,"35–44",IF(Data[[#This Row],[Age]]&lt;55,"45–54","55+"))))</f>
        <v>55+</v>
      </c>
      <c r="H1626" t="s">
        <v>46</v>
      </c>
      <c r="I1626" t="s">
        <v>18</v>
      </c>
      <c r="J1626" t="s">
        <v>37</v>
      </c>
      <c r="K1626" s="1">
        <v>41865</v>
      </c>
      <c r="M1626" s="1" t="str">
        <f>IF(ISBLANK(Data[[#This Row],[EndDate]]),"Active","InActive")</f>
        <v>Active</v>
      </c>
      <c r="N1626" t="s">
        <v>20</v>
      </c>
      <c r="O1626" t="s">
        <v>77</v>
      </c>
      <c r="P1626" t="s">
        <v>40</v>
      </c>
      <c r="Q1626" s="2">
        <v>25742</v>
      </c>
    </row>
    <row r="1627" spans="1:17" x14ac:dyDescent="0.2">
      <c r="A1627" s="1">
        <v>42705</v>
      </c>
      <c r="B1627">
        <v>56526</v>
      </c>
      <c r="C1627" t="s">
        <v>80</v>
      </c>
      <c r="D1627" t="s">
        <v>47</v>
      </c>
      <c r="E1627" t="s">
        <v>73</v>
      </c>
      <c r="F1627" s="5">
        <v>61</v>
      </c>
      <c r="G1627" t="str">
        <f>IF(Data[[#This Row],[Age]]&lt;25,"Under 25",IF(Data[[#This Row],[Age]]&lt;35,"25–34",IF(Data[[#This Row],[Age]]&lt;45,"35–44",IF(Data[[#This Row],[Age]]&lt;55,"45–54","55+"))))</f>
        <v>55+</v>
      </c>
      <c r="H1627" t="s">
        <v>59</v>
      </c>
      <c r="I1627" t="s">
        <v>56</v>
      </c>
      <c r="J1627" t="s">
        <v>35</v>
      </c>
      <c r="K1627" s="1">
        <v>31958</v>
      </c>
      <c r="M1627" s="1" t="str">
        <f>IF(ISBLANK(Data[[#This Row],[EndDate]]),"Active","InActive")</f>
        <v>Active</v>
      </c>
      <c r="N1627" t="s">
        <v>57</v>
      </c>
      <c r="O1627" t="s">
        <v>77</v>
      </c>
      <c r="P1627" t="s">
        <v>22</v>
      </c>
      <c r="Q1627" s="2">
        <v>18666</v>
      </c>
    </row>
    <row r="1628" spans="1:17" x14ac:dyDescent="0.2">
      <c r="A1628" s="1">
        <v>43070</v>
      </c>
      <c r="B1628">
        <v>49716</v>
      </c>
      <c r="C1628" t="s">
        <v>79</v>
      </c>
      <c r="D1628" t="s">
        <v>29</v>
      </c>
      <c r="E1628" t="s">
        <v>33</v>
      </c>
      <c r="F1628" s="5">
        <v>61</v>
      </c>
      <c r="G1628" t="str">
        <f>IF(Data[[#This Row],[Age]]&lt;25,"Under 25",IF(Data[[#This Row],[Age]]&lt;35,"25–34",IF(Data[[#This Row],[Age]]&lt;45,"35–44",IF(Data[[#This Row],[Age]]&lt;55,"45–54","55+"))))</f>
        <v>55+</v>
      </c>
      <c r="H1628" t="s">
        <v>34</v>
      </c>
      <c r="I1628" t="s">
        <v>56</v>
      </c>
      <c r="J1628" t="s">
        <v>35</v>
      </c>
      <c r="K1628" s="1">
        <v>39290</v>
      </c>
      <c r="M1628" s="1" t="str">
        <f>IF(ISBLANK(Data[[#This Row],[EndDate]]),"Active","InActive")</f>
        <v>Active</v>
      </c>
      <c r="N1628" t="s">
        <v>57</v>
      </c>
      <c r="O1628" t="s">
        <v>77</v>
      </c>
      <c r="P1628" t="s">
        <v>32</v>
      </c>
      <c r="Q1628" s="2">
        <v>17080</v>
      </c>
    </row>
    <row r="1629" spans="1:17" x14ac:dyDescent="0.2">
      <c r="A1629" s="1">
        <v>43070</v>
      </c>
      <c r="B1629">
        <v>53992</v>
      </c>
      <c r="C1629" t="s">
        <v>79</v>
      </c>
      <c r="D1629" t="s">
        <v>43</v>
      </c>
      <c r="E1629" t="s">
        <v>66</v>
      </c>
      <c r="F1629" s="5">
        <v>61</v>
      </c>
      <c r="G1629" t="str">
        <f>IF(Data[[#This Row],[Age]]&lt;25,"Under 25",IF(Data[[#This Row],[Age]]&lt;35,"25–34",IF(Data[[#This Row],[Age]]&lt;45,"35–44",IF(Data[[#This Row],[Age]]&lt;55,"45–54","55+"))))</f>
        <v>55+</v>
      </c>
      <c r="H1629" t="s">
        <v>31</v>
      </c>
      <c r="I1629" t="s">
        <v>56</v>
      </c>
      <c r="J1629" t="s">
        <v>26</v>
      </c>
      <c r="K1629" s="1">
        <v>39136</v>
      </c>
      <c r="M1629" s="1" t="str">
        <f>IF(ISBLANK(Data[[#This Row],[EndDate]]),"Active","InActive")</f>
        <v>Active</v>
      </c>
      <c r="N1629" t="s">
        <v>57</v>
      </c>
      <c r="O1629" t="s">
        <v>77</v>
      </c>
      <c r="P1629" t="s">
        <v>32</v>
      </c>
      <c r="Q1629" s="2">
        <v>57340</v>
      </c>
    </row>
    <row r="1630" spans="1:17" x14ac:dyDescent="0.2">
      <c r="A1630" s="1">
        <v>43070</v>
      </c>
      <c r="B1630">
        <v>55632</v>
      </c>
      <c r="C1630" t="s">
        <v>79</v>
      </c>
      <c r="D1630" t="s">
        <v>27</v>
      </c>
      <c r="E1630" t="s">
        <v>72</v>
      </c>
      <c r="F1630" s="5">
        <v>61</v>
      </c>
      <c r="G1630" t="str">
        <f>IF(Data[[#This Row],[Age]]&lt;25,"Under 25",IF(Data[[#This Row],[Age]]&lt;35,"25–34",IF(Data[[#This Row],[Age]]&lt;45,"35–44",IF(Data[[#This Row],[Age]]&lt;55,"45–54","55+"))))</f>
        <v>55+</v>
      </c>
      <c r="H1630" t="s">
        <v>46</v>
      </c>
      <c r="I1630" t="s">
        <v>56</v>
      </c>
      <c r="J1630" t="s">
        <v>37</v>
      </c>
      <c r="K1630" s="1">
        <v>40799</v>
      </c>
      <c r="M1630" s="1" t="str">
        <f>IF(ISBLANK(Data[[#This Row],[EndDate]]),"Active","InActive")</f>
        <v>Active</v>
      </c>
      <c r="N1630" t="s">
        <v>57</v>
      </c>
      <c r="O1630" t="s">
        <v>77</v>
      </c>
      <c r="P1630" t="s">
        <v>32</v>
      </c>
      <c r="Q1630" s="2">
        <v>111752</v>
      </c>
    </row>
    <row r="1631" spans="1:17" x14ac:dyDescent="0.2">
      <c r="A1631" s="1">
        <v>43070</v>
      </c>
      <c r="B1631">
        <v>92366</v>
      </c>
      <c r="C1631" t="s">
        <v>79</v>
      </c>
      <c r="D1631" t="s">
        <v>27</v>
      </c>
      <c r="E1631" t="s">
        <v>74</v>
      </c>
      <c r="F1631" s="5">
        <v>61</v>
      </c>
      <c r="G1631" t="str">
        <f>IF(Data[[#This Row],[Age]]&lt;25,"Under 25",IF(Data[[#This Row],[Age]]&lt;35,"25–34",IF(Data[[#This Row],[Age]]&lt;45,"35–44",IF(Data[[#This Row],[Age]]&lt;55,"45–54","55+"))))</f>
        <v>55+</v>
      </c>
      <c r="H1631" t="s">
        <v>25</v>
      </c>
      <c r="I1631" t="s">
        <v>56</v>
      </c>
      <c r="J1631" t="s">
        <v>19</v>
      </c>
      <c r="K1631" s="1">
        <v>38811</v>
      </c>
      <c r="M1631" s="1" t="str">
        <f>IF(ISBLANK(Data[[#This Row],[EndDate]]),"Active","InActive")</f>
        <v>Active</v>
      </c>
      <c r="N1631" t="s">
        <v>57</v>
      </c>
      <c r="O1631" t="s">
        <v>77</v>
      </c>
      <c r="P1631" t="s">
        <v>32</v>
      </c>
      <c r="Q1631" s="2">
        <v>88694</v>
      </c>
    </row>
    <row r="1632" spans="1:17" x14ac:dyDescent="0.2">
      <c r="A1632" s="1">
        <v>43435</v>
      </c>
      <c r="B1632">
        <v>92018</v>
      </c>
      <c r="C1632" t="s">
        <v>79</v>
      </c>
      <c r="D1632" t="s">
        <v>43</v>
      </c>
      <c r="E1632" t="s">
        <v>66</v>
      </c>
      <c r="F1632" s="5">
        <v>61</v>
      </c>
      <c r="G1632" t="str">
        <f>IF(Data[[#This Row],[Age]]&lt;25,"Under 25",IF(Data[[#This Row],[Age]]&lt;35,"25–34",IF(Data[[#This Row],[Age]]&lt;45,"35–44",IF(Data[[#This Row],[Age]]&lt;55,"45–54","55+"))))</f>
        <v>55+</v>
      </c>
      <c r="H1632" t="s">
        <v>31</v>
      </c>
      <c r="I1632" t="s">
        <v>56</v>
      </c>
      <c r="J1632" t="s">
        <v>19</v>
      </c>
      <c r="K1632" s="1">
        <v>41220</v>
      </c>
      <c r="M1632" s="1" t="str">
        <f>IF(ISBLANK(Data[[#This Row],[EndDate]]),"Active","InActive")</f>
        <v>Active</v>
      </c>
      <c r="N1632" t="s">
        <v>57</v>
      </c>
      <c r="O1632" t="s">
        <v>77</v>
      </c>
      <c r="P1632" t="s">
        <v>40</v>
      </c>
      <c r="Q1632" s="2">
        <v>90890</v>
      </c>
    </row>
    <row r="1633" spans="1:17" x14ac:dyDescent="0.2">
      <c r="A1633" s="1">
        <v>43435</v>
      </c>
      <c r="B1633">
        <v>92258</v>
      </c>
      <c r="C1633" t="s">
        <v>79</v>
      </c>
      <c r="D1633" t="s">
        <v>38</v>
      </c>
      <c r="E1633" t="s">
        <v>39</v>
      </c>
      <c r="F1633" s="5">
        <v>61</v>
      </c>
      <c r="G1633" t="str">
        <f>IF(Data[[#This Row],[Age]]&lt;25,"Under 25",IF(Data[[#This Row],[Age]]&lt;35,"25–34",IF(Data[[#This Row],[Age]]&lt;45,"35–44",IF(Data[[#This Row],[Age]]&lt;55,"45–54","55+"))))</f>
        <v>55+</v>
      </c>
      <c r="H1633" t="s">
        <v>59</v>
      </c>
      <c r="I1633" t="s">
        <v>56</v>
      </c>
      <c r="J1633" t="s">
        <v>19</v>
      </c>
      <c r="K1633" s="1">
        <v>40890</v>
      </c>
      <c r="M1633" s="1" t="str">
        <f>IF(ISBLANK(Data[[#This Row],[EndDate]]),"Active","InActive")</f>
        <v>Active</v>
      </c>
      <c r="N1633" t="s">
        <v>57</v>
      </c>
      <c r="O1633" t="s">
        <v>77</v>
      </c>
      <c r="P1633" t="s">
        <v>40</v>
      </c>
      <c r="Q1633" s="2">
        <v>48190</v>
      </c>
    </row>
    <row r="1634" spans="1:17" x14ac:dyDescent="0.2">
      <c r="A1634" s="1">
        <v>42705</v>
      </c>
      <c r="B1634">
        <v>52290</v>
      </c>
      <c r="C1634" t="s">
        <v>80</v>
      </c>
      <c r="D1634" t="s">
        <v>43</v>
      </c>
      <c r="E1634" t="s">
        <v>66</v>
      </c>
      <c r="F1634" s="5">
        <v>62</v>
      </c>
      <c r="G1634" t="str">
        <f>IF(Data[[#This Row],[Age]]&lt;25,"Under 25",IF(Data[[#This Row],[Age]]&lt;35,"25–34",IF(Data[[#This Row],[Age]]&lt;45,"35–44",IF(Data[[#This Row],[Age]]&lt;55,"45–54","55+"))))</f>
        <v>55+</v>
      </c>
      <c r="H1634" t="s">
        <v>17</v>
      </c>
      <c r="I1634" t="s">
        <v>18</v>
      </c>
      <c r="J1634" t="s">
        <v>26</v>
      </c>
      <c r="K1634" s="1">
        <v>39385</v>
      </c>
      <c r="M1634" s="1" t="str">
        <f>IF(ISBLANK(Data[[#This Row],[EndDate]]),"Active","InActive")</f>
        <v>Active</v>
      </c>
      <c r="N1634" t="s">
        <v>20</v>
      </c>
      <c r="O1634" t="s">
        <v>77</v>
      </c>
      <c r="P1634" t="s">
        <v>22</v>
      </c>
      <c r="Q1634" s="2">
        <v>25668</v>
      </c>
    </row>
    <row r="1635" spans="1:17" x14ac:dyDescent="0.2">
      <c r="A1635" s="1">
        <v>42705</v>
      </c>
      <c r="B1635">
        <v>55780</v>
      </c>
      <c r="C1635" t="s">
        <v>80</v>
      </c>
      <c r="D1635" t="s">
        <v>38</v>
      </c>
      <c r="E1635" t="s">
        <v>45</v>
      </c>
      <c r="F1635" s="5">
        <v>62</v>
      </c>
      <c r="G1635" t="str">
        <f>IF(Data[[#This Row],[Age]]&lt;25,"Under 25",IF(Data[[#This Row],[Age]]&lt;35,"25–34",IF(Data[[#This Row],[Age]]&lt;45,"35–44",IF(Data[[#This Row],[Age]]&lt;55,"45–54","55+"))))</f>
        <v>55+</v>
      </c>
      <c r="H1635" t="s">
        <v>49</v>
      </c>
      <c r="I1635" t="s">
        <v>18</v>
      </c>
      <c r="J1635" t="s">
        <v>37</v>
      </c>
      <c r="K1635" s="1">
        <v>40773</v>
      </c>
      <c r="M1635" s="1" t="str">
        <f>IF(ISBLANK(Data[[#This Row],[EndDate]]),"Active","InActive")</f>
        <v>Active</v>
      </c>
      <c r="N1635" t="s">
        <v>20</v>
      </c>
      <c r="O1635" t="s">
        <v>77</v>
      </c>
      <c r="P1635" t="s">
        <v>22</v>
      </c>
      <c r="Q1635" s="2">
        <v>33232</v>
      </c>
    </row>
    <row r="1636" spans="1:17" x14ac:dyDescent="0.2">
      <c r="A1636" s="1">
        <v>43070</v>
      </c>
      <c r="B1636">
        <v>42680</v>
      </c>
      <c r="C1636" t="s">
        <v>80</v>
      </c>
      <c r="D1636" t="s">
        <v>15</v>
      </c>
      <c r="E1636" t="s">
        <v>58</v>
      </c>
      <c r="F1636" s="5">
        <v>62</v>
      </c>
      <c r="G1636" t="str">
        <f>IF(Data[[#This Row],[Age]]&lt;25,"Under 25",IF(Data[[#This Row],[Age]]&lt;35,"25–34",IF(Data[[#This Row],[Age]]&lt;45,"35–44",IF(Data[[#This Row],[Age]]&lt;55,"45–54","55+"))))</f>
        <v>55+</v>
      </c>
      <c r="H1636" t="s">
        <v>31</v>
      </c>
      <c r="I1636" t="s">
        <v>18</v>
      </c>
      <c r="J1636" t="s">
        <v>35</v>
      </c>
      <c r="K1636" s="1">
        <v>41445</v>
      </c>
      <c r="M1636" s="1" t="str">
        <f>IF(ISBLANK(Data[[#This Row],[EndDate]]),"Active","InActive")</f>
        <v>Active</v>
      </c>
      <c r="N1636" t="s">
        <v>20</v>
      </c>
      <c r="O1636" t="s">
        <v>77</v>
      </c>
      <c r="P1636" t="s">
        <v>32</v>
      </c>
      <c r="Q1636" s="2">
        <v>109120</v>
      </c>
    </row>
    <row r="1637" spans="1:17" x14ac:dyDescent="0.2">
      <c r="A1637" s="1">
        <v>43070</v>
      </c>
      <c r="B1637">
        <v>44044</v>
      </c>
      <c r="C1637" t="s">
        <v>80</v>
      </c>
      <c r="D1637" t="s">
        <v>15</v>
      </c>
      <c r="E1637" t="s">
        <v>58</v>
      </c>
      <c r="F1637" s="5">
        <v>62</v>
      </c>
      <c r="G1637" t="str">
        <f>IF(Data[[#This Row],[Age]]&lt;25,"Under 25",IF(Data[[#This Row],[Age]]&lt;35,"25–34",IF(Data[[#This Row],[Age]]&lt;45,"35–44",IF(Data[[#This Row],[Age]]&lt;55,"45–54","55+"))))</f>
        <v>55+</v>
      </c>
      <c r="H1637" t="s">
        <v>49</v>
      </c>
      <c r="I1637" t="s">
        <v>18</v>
      </c>
      <c r="J1637" t="s">
        <v>37</v>
      </c>
      <c r="K1637" s="1">
        <v>39126</v>
      </c>
      <c r="M1637" s="1" t="str">
        <f>IF(ISBLANK(Data[[#This Row],[EndDate]]),"Active","InActive")</f>
        <v>Active</v>
      </c>
      <c r="N1637" t="s">
        <v>20</v>
      </c>
      <c r="O1637" t="s">
        <v>77</v>
      </c>
      <c r="P1637" t="s">
        <v>32</v>
      </c>
      <c r="Q1637" s="2">
        <v>52576</v>
      </c>
    </row>
    <row r="1638" spans="1:17" x14ac:dyDescent="0.2">
      <c r="A1638" s="1">
        <v>43435</v>
      </c>
      <c r="B1638">
        <v>42708</v>
      </c>
      <c r="C1638" t="s">
        <v>80</v>
      </c>
      <c r="D1638" t="s">
        <v>38</v>
      </c>
      <c r="E1638" t="s">
        <v>39</v>
      </c>
      <c r="F1638" s="5">
        <v>62</v>
      </c>
      <c r="G1638" t="str">
        <f>IF(Data[[#This Row],[Age]]&lt;25,"Under 25",IF(Data[[#This Row],[Age]]&lt;35,"25–34",IF(Data[[#This Row],[Age]]&lt;45,"35–44",IF(Data[[#This Row],[Age]]&lt;55,"45–54","55+"))))</f>
        <v>55+</v>
      </c>
      <c r="H1638" t="s">
        <v>34</v>
      </c>
      <c r="I1638" t="s">
        <v>18</v>
      </c>
      <c r="J1638" t="s">
        <v>35</v>
      </c>
      <c r="K1638" s="1">
        <v>40843</v>
      </c>
      <c r="M1638" s="1" t="str">
        <f>IF(ISBLANK(Data[[#This Row],[EndDate]]),"Active","InActive")</f>
        <v>Active</v>
      </c>
      <c r="N1638" t="s">
        <v>20</v>
      </c>
      <c r="O1638" t="s">
        <v>77</v>
      </c>
      <c r="P1638" t="s">
        <v>40</v>
      </c>
      <c r="Q1638" s="2">
        <v>95976</v>
      </c>
    </row>
    <row r="1639" spans="1:17" x14ac:dyDescent="0.2">
      <c r="A1639" s="1">
        <v>43435</v>
      </c>
      <c r="B1639">
        <v>43808</v>
      </c>
      <c r="C1639" t="s">
        <v>80</v>
      </c>
      <c r="D1639" t="s">
        <v>43</v>
      </c>
      <c r="E1639" t="s">
        <v>44</v>
      </c>
      <c r="F1639" s="5">
        <v>62</v>
      </c>
      <c r="G1639" t="str">
        <f>IF(Data[[#This Row],[Age]]&lt;25,"Under 25",IF(Data[[#This Row],[Age]]&lt;35,"25–34",IF(Data[[#This Row],[Age]]&lt;45,"35–44",IF(Data[[#This Row],[Age]]&lt;55,"45–54","55+"))))</f>
        <v>55+</v>
      </c>
      <c r="H1639" t="s">
        <v>31</v>
      </c>
      <c r="I1639" t="s">
        <v>18</v>
      </c>
      <c r="J1639" t="s">
        <v>37</v>
      </c>
      <c r="K1639" s="1">
        <v>41723</v>
      </c>
      <c r="M1639" s="1" t="str">
        <f>IF(ISBLANK(Data[[#This Row],[EndDate]]),"Active","InActive")</f>
        <v>Active</v>
      </c>
      <c r="N1639" t="s">
        <v>20</v>
      </c>
      <c r="O1639" t="s">
        <v>77</v>
      </c>
      <c r="P1639" t="s">
        <v>40</v>
      </c>
      <c r="Q1639" s="2">
        <v>19096</v>
      </c>
    </row>
    <row r="1640" spans="1:17" x14ac:dyDescent="0.2">
      <c r="A1640" s="1">
        <v>42705</v>
      </c>
      <c r="B1640">
        <v>56358</v>
      </c>
      <c r="C1640" t="s">
        <v>80</v>
      </c>
      <c r="D1640" t="s">
        <v>15</v>
      </c>
      <c r="E1640" t="s">
        <v>16</v>
      </c>
      <c r="F1640" s="5">
        <v>62</v>
      </c>
      <c r="G1640" t="str">
        <f>IF(Data[[#This Row],[Age]]&lt;25,"Under 25",IF(Data[[#This Row],[Age]]&lt;35,"25–34",IF(Data[[#This Row],[Age]]&lt;45,"35–44",IF(Data[[#This Row],[Age]]&lt;55,"45–54","55+"))))</f>
        <v>55+</v>
      </c>
      <c r="H1640" t="s">
        <v>34</v>
      </c>
      <c r="I1640" t="s">
        <v>18</v>
      </c>
      <c r="J1640" t="s">
        <v>26</v>
      </c>
      <c r="K1640" s="1">
        <v>39136</v>
      </c>
      <c r="M1640" s="1" t="str">
        <f>IF(ISBLANK(Data[[#This Row],[EndDate]]),"Active","InActive")</f>
        <v>Active</v>
      </c>
      <c r="N1640" t="s">
        <v>20</v>
      </c>
      <c r="O1640" t="s">
        <v>77</v>
      </c>
      <c r="P1640" t="s">
        <v>22</v>
      </c>
      <c r="Q1640" s="2">
        <v>113336</v>
      </c>
    </row>
    <row r="1641" spans="1:17" x14ac:dyDescent="0.2">
      <c r="A1641" s="1">
        <v>42705</v>
      </c>
      <c r="B1641">
        <v>54890</v>
      </c>
      <c r="C1641" t="s">
        <v>79</v>
      </c>
      <c r="D1641" t="s">
        <v>50</v>
      </c>
      <c r="E1641" t="s">
        <v>63</v>
      </c>
      <c r="F1641" s="5">
        <v>62</v>
      </c>
      <c r="G1641" t="str">
        <f>IF(Data[[#This Row],[Age]]&lt;25,"Under 25",IF(Data[[#This Row],[Age]]&lt;35,"25–34",IF(Data[[#This Row],[Age]]&lt;45,"35–44",IF(Data[[#This Row],[Age]]&lt;55,"45–54","55+"))))</f>
        <v>55+</v>
      </c>
      <c r="H1641" t="s">
        <v>49</v>
      </c>
      <c r="I1641" t="s">
        <v>56</v>
      </c>
      <c r="J1641" t="s">
        <v>26</v>
      </c>
      <c r="K1641" s="1">
        <v>38447</v>
      </c>
      <c r="M1641" s="1" t="str">
        <f>IF(ISBLANK(Data[[#This Row],[EndDate]]),"Active","InActive")</f>
        <v>Active</v>
      </c>
      <c r="N1641" t="s">
        <v>57</v>
      </c>
      <c r="O1641" t="s">
        <v>77</v>
      </c>
      <c r="P1641" t="s">
        <v>22</v>
      </c>
      <c r="Q1641" s="2">
        <v>48856</v>
      </c>
    </row>
    <row r="1642" spans="1:17" x14ac:dyDescent="0.2">
      <c r="A1642" s="1">
        <v>43070</v>
      </c>
      <c r="B1642">
        <v>56526</v>
      </c>
      <c r="C1642" t="s">
        <v>80</v>
      </c>
      <c r="D1642" t="s">
        <v>47</v>
      </c>
      <c r="E1642" t="s">
        <v>73</v>
      </c>
      <c r="F1642" s="5">
        <v>62</v>
      </c>
      <c r="G1642" t="str">
        <f>IF(Data[[#This Row],[Age]]&lt;25,"Under 25",IF(Data[[#This Row],[Age]]&lt;35,"25–34",IF(Data[[#This Row],[Age]]&lt;45,"35–44",IF(Data[[#This Row],[Age]]&lt;55,"45–54","55+"))))</f>
        <v>55+</v>
      </c>
      <c r="H1642" t="s">
        <v>59</v>
      </c>
      <c r="I1642" t="s">
        <v>56</v>
      </c>
      <c r="J1642" t="s">
        <v>35</v>
      </c>
      <c r="K1642" s="1">
        <v>31958</v>
      </c>
      <c r="M1642" s="1" t="str">
        <f>IF(ISBLANK(Data[[#This Row],[EndDate]]),"Active","InActive")</f>
        <v>Active</v>
      </c>
      <c r="N1642" t="s">
        <v>57</v>
      </c>
      <c r="O1642" t="s">
        <v>77</v>
      </c>
      <c r="P1642" t="s">
        <v>32</v>
      </c>
      <c r="Q1642" s="2">
        <v>58280</v>
      </c>
    </row>
    <row r="1643" spans="1:17" x14ac:dyDescent="0.2">
      <c r="A1643" s="1">
        <v>43435</v>
      </c>
      <c r="B1643">
        <v>49716</v>
      </c>
      <c r="C1643" t="s">
        <v>79</v>
      </c>
      <c r="D1643" t="s">
        <v>29</v>
      </c>
      <c r="E1643" t="s">
        <v>33</v>
      </c>
      <c r="F1643" s="5">
        <v>62</v>
      </c>
      <c r="G1643" t="str">
        <f>IF(Data[[#This Row],[Age]]&lt;25,"Under 25",IF(Data[[#This Row],[Age]]&lt;35,"25–34",IF(Data[[#This Row],[Age]]&lt;45,"35–44",IF(Data[[#This Row],[Age]]&lt;55,"45–54","55+"))))</f>
        <v>55+</v>
      </c>
      <c r="H1643" t="s">
        <v>34</v>
      </c>
      <c r="I1643" t="s">
        <v>56</v>
      </c>
      <c r="J1643" t="s">
        <v>35</v>
      </c>
      <c r="K1643" s="1">
        <v>39290</v>
      </c>
      <c r="M1643" s="1" t="str">
        <f>IF(ISBLANK(Data[[#This Row],[EndDate]]),"Active","InActive")</f>
        <v>Active</v>
      </c>
      <c r="N1643" t="s">
        <v>57</v>
      </c>
      <c r="O1643" t="s">
        <v>77</v>
      </c>
      <c r="P1643" t="s">
        <v>40</v>
      </c>
      <c r="Q1643" s="2">
        <v>67828</v>
      </c>
    </row>
    <row r="1644" spans="1:17" x14ac:dyDescent="0.2">
      <c r="A1644" s="1">
        <v>43435</v>
      </c>
      <c r="B1644">
        <v>53992</v>
      </c>
      <c r="C1644" t="s">
        <v>79</v>
      </c>
      <c r="D1644" t="s">
        <v>43</v>
      </c>
      <c r="E1644" t="s">
        <v>66</v>
      </c>
      <c r="F1644" s="5">
        <v>62</v>
      </c>
      <c r="G1644" t="str">
        <f>IF(Data[[#This Row],[Age]]&lt;25,"Under 25",IF(Data[[#This Row],[Age]]&lt;35,"25–34",IF(Data[[#This Row],[Age]]&lt;45,"35–44",IF(Data[[#This Row],[Age]]&lt;55,"45–54","55+"))))</f>
        <v>55+</v>
      </c>
      <c r="H1644" t="s">
        <v>31</v>
      </c>
      <c r="I1644" t="s">
        <v>56</v>
      </c>
      <c r="J1644" t="s">
        <v>26</v>
      </c>
      <c r="K1644" s="1">
        <v>39136</v>
      </c>
      <c r="M1644" s="1" t="str">
        <f>IF(ISBLANK(Data[[#This Row],[EndDate]]),"Active","InActive")</f>
        <v>Active</v>
      </c>
      <c r="N1644" t="s">
        <v>57</v>
      </c>
      <c r="O1644" t="s">
        <v>77</v>
      </c>
      <c r="P1644" t="s">
        <v>40</v>
      </c>
      <c r="Q1644" s="2">
        <v>105276</v>
      </c>
    </row>
    <row r="1645" spans="1:17" x14ac:dyDescent="0.2">
      <c r="A1645" s="1">
        <v>43435</v>
      </c>
      <c r="B1645">
        <v>55632</v>
      </c>
      <c r="C1645" t="s">
        <v>79</v>
      </c>
      <c r="D1645" t="s">
        <v>27</v>
      </c>
      <c r="E1645" t="s">
        <v>72</v>
      </c>
      <c r="F1645" s="5">
        <v>62</v>
      </c>
      <c r="G1645" t="str">
        <f>IF(Data[[#This Row],[Age]]&lt;25,"Under 25",IF(Data[[#This Row],[Age]]&lt;35,"25–34",IF(Data[[#This Row],[Age]]&lt;45,"35–44",IF(Data[[#This Row],[Age]]&lt;55,"45–54","55+"))))</f>
        <v>55+</v>
      </c>
      <c r="H1645" t="s">
        <v>46</v>
      </c>
      <c r="I1645" t="s">
        <v>56</v>
      </c>
      <c r="J1645" t="s">
        <v>37</v>
      </c>
      <c r="K1645" s="1">
        <v>40799</v>
      </c>
      <c r="M1645" s="1" t="str">
        <f>IF(ISBLANK(Data[[#This Row],[EndDate]]),"Active","InActive")</f>
        <v>Active</v>
      </c>
      <c r="N1645" t="s">
        <v>57</v>
      </c>
      <c r="O1645" t="s">
        <v>77</v>
      </c>
      <c r="P1645" t="s">
        <v>40</v>
      </c>
      <c r="Q1645" s="2">
        <v>51460</v>
      </c>
    </row>
    <row r="1646" spans="1:17" x14ac:dyDescent="0.2">
      <c r="A1646" s="1">
        <v>43435</v>
      </c>
      <c r="B1646">
        <v>92366</v>
      </c>
      <c r="C1646" t="s">
        <v>79</v>
      </c>
      <c r="D1646" t="s">
        <v>27</v>
      </c>
      <c r="E1646" t="s">
        <v>74</v>
      </c>
      <c r="F1646" s="5">
        <v>62</v>
      </c>
      <c r="G1646" t="str">
        <f>IF(Data[[#This Row],[Age]]&lt;25,"Under 25",IF(Data[[#This Row],[Age]]&lt;35,"25–34",IF(Data[[#This Row],[Age]]&lt;45,"35–44",IF(Data[[#This Row],[Age]]&lt;55,"45–54","55+"))))</f>
        <v>55+</v>
      </c>
      <c r="H1646" t="s">
        <v>25</v>
      </c>
      <c r="I1646" t="s">
        <v>56</v>
      </c>
      <c r="J1646" t="s">
        <v>19</v>
      </c>
      <c r="K1646" s="1">
        <v>38811</v>
      </c>
      <c r="M1646" s="1" t="str">
        <f>IF(ISBLANK(Data[[#This Row],[EndDate]]),"Active","InActive")</f>
        <v>Active</v>
      </c>
      <c r="N1646" t="s">
        <v>57</v>
      </c>
      <c r="O1646" t="s">
        <v>77</v>
      </c>
      <c r="P1646" t="s">
        <v>40</v>
      </c>
      <c r="Q1646" s="2">
        <v>55304</v>
      </c>
    </row>
    <row r="1647" spans="1:17" x14ac:dyDescent="0.2">
      <c r="A1647" s="1">
        <v>42705</v>
      </c>
      <c r="B1647">
        <v>117476</v>
      </c>
      <c r="C1647" t="s">
        <v>80</v>
      </c>
      <c r="D1647" t="s">
        <v>50</v>
      </c>
      <c r="E1647" t="s">
        <v>63</v>
      </c>
      <c r="F1647" s="5">
        <v>63</v>
      </c>
      <c r="G1647" t="str">
        <f>IF(Data[[#This Row],[Age]]&lt;25,"Under 25",IF(Data[[#This Row],[Age]]&lt;35,"25–34",IF(Data[[#This Row],[Age]]&lt;45,"35–44",IF(Data[[#This Row],[Age]]&lt;55,"45–54","55+"))))</f>
        <v>55+</v>
      </c>
      <c r="H1647" t="s">
        <v>49</v>
      </c>
      <c r="I1647" t="s">
        <v>18</v>
      </c>
      <c r="J1647" t="s">
        <v>37</v>
      </c>
      <c r="K1647" s="1">
        <v>41031</v>
      </c>
      <c r="M1647" s="1" t="str">
        <f>IF(ISBLANK(Data[[#This Row],[EndDate]]),"Active","InActive")</f>
        <v>Active</v>
      </c>
      <c r="N1647" t="s">
        <v>20</v>
      </c>
      <c r="O1647" t="s">
        <v>77</v>
      </c>
      <c r="P1647" t="s">
        <v>22</v>
      </c>
      <c r="Q1647" s="2">
        <v>120960</v>
      </c>
    </row>
    <row r="1648" spans="1:17" x14ac:dyDescent="0.2">
      <c r="A1648" s="1">
        <v>43070</v>
      </c>
      <c r="B1648">
        <v>43682</v>
      </c>
      <c r="C1648" t="s">
        <v>80</v>
      </c>
      <c r="D1648" t="s">
        <v>27</v>
      </c>
      <c r="E1648" t="s">
        <v>72</v>
      </c>
      <c r="F1648" s="5">
        <v>63</v>
      </c>
      <c r="G1648" t="str">
        <f>IF(Data[[#This Row],[Age]]&lt;25,"Under 25",IF(Data[[#This Row],[Age]]&lt;35,"25–34",IF(Data[[#This Row],[Age]]&lt;45,"35–44",IF(Data[[#This Row],[Age]]&lt;55,"45–54","55+"))))</f>
        <v>55+</v>
      </c>
      <c r="H1648" t="s">
        <v>25</v>
      </c>
      <c r="I1648" t="s">
        <v>18</v>
      </c>
      <c r="J1648" t="s">
        <v>37</v>
      </c>
      <c r="K1648" s="1">
        <v>41591</v>
      </c>
      <c r="M1648" s="1" t="str">
        <f>IF(ISBLANK(Data[[#This Row],[EndDate]]),"Active","InActive")</f>
        <v>Active</v>
      </c>
      <c r="N1648" t="s">
        <v>20</v>
      </c>
      <c r="O1648" t="s">
        <v>77</v>
      </c>
      <c r="P1648" t="s">
        <v>32</v>
      </c>
      <c r="Q1648" s="2">
        <v>68544</v>
      </c>
    </row>
    <row r="1649" spans="1:17" x14ac:dyDescent="0.2">
      <c r="A1649" s="1">
        <v>43070</v>
      </c>
      <c r="B1649">
        <v>52290</v>
      </c>
      <c r="C1649" t="s">
        <v>80</v>
      </c>
      <c r="D1649" t="s">
        <v>43</v>
      </c>
      <c r="E1649" t="s">
        <v>66</v>
      </c>
      <c r="F1649" s="5">
        <v>63</v>
      </c>
      <c r="G1649" t="str">
        <f>IF(Data[[#This Row],[Age]]&lt;25,"Under 25",IF(Data[[#This Row],[Age]]&lt;35,"25–34",IF(Data[[#This Row],[Age]]&lt;45,"35–44",IF(Data[[#This Row],[Age]]&lt;55,"45–54","55+"))))</f>
        <v>55+</v>
      </c>
      <c r="H1649" t="s">
        <v>17</v>
      </c>
      <c r="I1649" t="s">
        <v>18</v>
      </c>
      <c r="J1649" t="s">
        <v>26</v>
      </c>
      <c r="K1649" s="1">
        <v>39385</v>
      </c>
      <c r="M1649" s="1" t="str">
        <f>IF(ISBLANK(Data[[#This Row],[EndDate]]),"Active","InActive")</f>
        <v>Active</v>
      </c>
      <c r="N1649" t="s">
        <v>20</v>
      </c>
      <c r="O1649" t="s">
        <v>77</v>
      </c>
      <c r="P1649" t="s">
        <v>32</v>
      </c>
      <c r="Q1649" s="2">
        <v>21798</v>
      </c>
    </row>
    <row r="1650" spans="1:17" x14ac:dyDescent="0.2">
      <c r="A1650" s="1">
        <v>43070</v>
      </c>
      <c r="B1650">
        <v>55780</v>
      </c>
      <c r="C1650" t="s">
        <v>80</v>
      </c>
      <c r="D1650" t="s">
        <v>38</v>
      </c>
      <c r="E1650" t="s">
        <v>45</v>
      </c>
      <c r="F1650" s="5">
        <v>63</v>
      </c>
      <c r="G1650" t="str">
        <f>IF(Data[[#This Row],[Age]]&lt;25,"Under 25",IF(Data[[#This Row],[Age]]&lt;35,"25–34",IF(Data[[#This Row],[Age]]&lt;45,"35–44",IF(Data[[#This Row],[Age]]&lt;55,"45–54","55+"))))</f>
        <v>55+</v>
      </c>
      <c r="H1650" t="s">
        <v>49</v>
      </c>
      <c r="I1650" t="s">
        <v>18</v>
      </c>
      <c r="J1650" t="s">
        <v>37</v>
      </c>
      <c r="K1650" s="1">
        <v>40773</v>
      </c>
      <c r="M1650" s="1" t="str">
        <f>IF(ISBLANK(Data[[#This Row],[EndDate]]),"Active","InActive")</f>
        <v>Active</v>
      </c>
      <c r="N1650" t="s">
        <v>20</v>
      </c>
      <c r="O1650" t="s">
        <v>77</v>
      </c>
      <c r="P1650" t="s">
        <v>32</v>
      </c>
      <c r="Q1650" s="2">
        <v>45108</v>
      </c>
    </row>
    <row r="1651" spans="1:17" x14ac:dyDescent="0.2">
      <c r="A1651" s="1">
        <v>43435</v>
      </c>
      <c r="B1651">
        <v>42680</v>
      </c>
      <c r="C1651" t="s">
        <v>80</v>
      </c>
      <c r="D1651" t="s">
        <v>15</v>
      </c>
      <c r="E1651" t="s">
        <v>58</v>
      </c>
      <c r="F1651" s="5">
        <v>63</v>
      </c>
      <c r="G1651" t="str">
        <f>IF(Data[[#This Row],[Age]]&lt;25,"Under 25",IF(Data[[#This Row],[Age]]&lt;35,"25–34",IF(Data[[#This Row],[Age]]&lt;45,"35–44",IF(Data[[#This Row],[Age]]&lt;55,"45–54","55+"))))</f>
        <v>55+</v>
      </c>
      <c r="H1651" t="s">
        <v>31</v>
      </c>
      <c r="I1651" t="s">
        <v>18</v>
      </c>
      <c r="J1651" t="s">
        <v>35</v>
      </c>
      <c r="K1651" s="1">
        <v>41445</v>
      </c>
      <c r="M1651" s="1" t="str">
        <f>IF(ISBLANK(Data[[#This Row],[EndDate]]),"Active","InActive")</f>
        <v>Active</v>
      </c>
      <c r="N1651" t="s">
        <v>20</v>
      </c>
      <c r="O1651" t="s">
        <v>77</v>
      </c>
      <c r="P1651" t="s">
        <v>40</v>
      </c>
      <c r="Q1651" s="2">
        <v>29358</v>
      </c>
    </row>
    <row r="1652" spans="1:17" x14ac:dyDescent="0.2">
      <c r="A1652" s="1">
        <v>43435</v>
      </c>
      <c r="B1652">
        <v>44044</v>
      </c>
      <c r="C1652" t="s">
        <v>80</v>
      </c>
      <c r="D1652" t="s">
        <v>15</v>
      </c>
      <c r="E1652" t="s">
        <v>58</v>
      </c>
      <c r="F1652" s="5">
        <v>63</v>
      </c>
      <c r="G1652" t="str">
        <f>IF(Data[[#This Row],[Age]]&lt;25,"Under 25",IF(Data[[#This Row],[Age]]&lt;35,"25–34",IF(Data[[#This Row],[Age]]&lt;45,"35–44",IF(Data[[#This Row],[Age]]&lt;55,"45–54","55+"))))</f>
        <v>55+</v>
      </c>
      <c r="H1652" t="s">
        <v>49</v>
      </c>
      <c r="I1652" t="s">
        <v>18</v>
      </c>
      <c r="J1652" t="s">
        <v>37</v>
      </c>
      <c r="K1652" s="1">
        <v>39126</v>
      </c>
      <c r="M1652" s="1" t="str">
        <f>IF(ISBLANK(Data[[#This Row],[EndDate]]),"Active","InActive")</f>
        <v>Active</v>
      </c>
      <c r="N1652" t="s">
        <v>20</v>
      </c>
      <c r="O1652" t="s">
        <v>77</v>
      </c>
      <c r="P1652" t="s">
        <v>40</v>
      </c>
      <c r="Q1652" s="2">
        <v>47628</v>
      </c>
    </row>
    <row r="1653" spans="1:17" x14ac:dyDescent="0.2">
      <c r="A1653" s="1">
        <v>43070</v>
      </c>
      <c r="B1653">
        <v>56358</v>
      </c>
      <c r="C1653" t="s">
        <v>80</v>
      </c>
      <c r="D1653" t="s">
        <v>15</v>
      </c>
      <c r="E1653" t="s">
        <v>16</v>
      </c>
      <c r="F1653" s="5">
        <v>63</v>
      </c>
      <c r="G1653" t="str">
        <f>IF(Data[[#This Row],[Age]]&lt;25,"Under 25",IF(Data[[#This Row],[Age]]&lt;35,"25–34",IF(Data[[#This Row],[Age]]&lt;45,"35–44",IF(Data[[#This Row],[Age]]&lt;55,"45–54","55+"))))</f>
        <v>55+</v>
      </c>
      <c r="H1653" t="s">
        <v>34</v>
      </c>
      <c r="I1653" t="s">
        <v>18</v>
      </c>
      <c r="J1653" t="s">
        <v>26</v>
      </c>
      <c r="K1653" s="1">
        <v>39136</v>
      </c>
      <c r="M1653" s="1" t="str">
        <f>IF(ISBLANK(Data[[#This Row],[EndDate]]),"Active","InActive")</f>
        <v>Active</v>
      </c>
      <c r="N1653" t="s">
        <v>20</v>
      </c>
      <c r="O1653" t="s">
        <v>77</v>
      </c>
      <c r="P1653" t="s">
        <v>32</v>
      </c>
      <c r="Q1653" s="2">
        <v>56826</v>
      </c>
    </row>
    <row r="1654" spans="1:17" x14ac:dyDescent="0.2">
      <c r="A1654" s="1">
        <v>42705</v>
      </c>
      <c r="B1654">
        <v>42236</v>
      </c>
      <c r="C1654" t="s">
        <v>80</v>
      </c>
      <c r="D1654" t="s">
        <v>38</v>
      </c>
      <c r="E1654" t="s">
        <v>61</v>
      </c>
      <c r="F1654" s="5">
        <v>63</v>
      </c>
      <c r="G1654" t="str">
        <f>IF(Data[[#This Row],[Age]]&lt;25,"Under 25",IF(Data[[#This Row],[Age]]&lt;35,"25–34",IF(Data[[#This Row],[Age]]&lt;45,"35–44",IF(Data[[#This Row],[Age]]&lt;55,"45–54","55+"))))</f>
        <v>55+</v>
      </c>
      <c r="H1654" t="s">
        <v>17</v>
      </c>
      <c r="I1654" t="s">
        <v>56</v>
      </c>
      <c r="J1654" t="s">
        <v>35</v>
      </c>
      <c r="K1654" s="1">
        <v>40709</v>
      </c>
      <c r="M1654" s="1" t="str">
        <f>IF(ISBLANK(Data[[#This Row],[EndDate]]),"Active","InActive")</f>
        <v>Active</v>
      </c>
      <c r="N1654" t="s">
        <v>57</v>
      </c>
      <c r="O1654" t="s">
        <v>77</v>
      </c>
      <c r="P1654" t="s">
        <v>22</v>
      </c>
      <c r="Q1654" s="2">
        <v>34398</v>
      </c>
    </row>
    <row r="1655" spans="1:17" x14ac:dyDescent="0.2">
      <c r="A1655" s="1">
        <v>42705</v>
      </c>
      <c r="B1655">
        <v>43790</v>
      </c>
      <c r="C1655" t="s">
        <v>79</v>
      </c>
      <c r="D1655" t="s">
        <v>15</v>
      </c>
      <c r="E1655" t="s">
        <v>16</v>
      </c>
      <c r="F1655" s="5">
        <v>63</v>
      </c>
      <c r="G1655" t="str">
        <f>IF(Data[[#This Row],[Age]]&lt;25,"Under 25",IF(Data[[#This Row],[Age]]&lt;35,"25–34",IF(Data[[#This Row],[Age]]&lt;45,"35–44",IF(Data[[#This Row],[Age]]&lt;55,"45–54","55+"))))</f>
        <v>55+</v>
      </c>
      <c r="H1655" t="s">
        <v>31</v>
      </c>
      <c r="I1655" t="s">
        <v>56</v>
      </c>
      <c r="J1655" t="s">
        <v>37</v>
      </c>
      <c r="K1655" s="1">
        <v>40026</v>
      </c>
      <c r="M1655" s="1" t="str">
        <f>IF(ISBLANK(Data[[#This Row],[EndDate]]),"Active","InActive")</f>
        <v>Active</v>
      </c>
      <c r="N1655" t="s">
        <v>57</v>
      </c>
      <c r="O1655" t="s">
        <v>77</v>
      </c>
      <c r="P1655" t="s">
        <v>22</v>
      </c>
      <c r="Q1655" s="2">
        <v>22050</v>
      </c>
    </row>
    <row r="1656" spans="1:17" x14ac:dyDescent="0.2">
      <c r="A1656" s="1">
        <v>43070</v>
      </c>
      <c r="B1656">
        <v>54890</v>
      </c>
      <c r="C1656" t="s">
        <v>79</v>
      </c>
      <c r="D1656" t="s">
        <v>50</v>
      </c>
      <c r="E1656" t="s">
        <v>63</v>
      </c>
      <c r="F1656" s="5">
        <v>63</v>
      </c>
      <c r="G1656" t="str">
        <f>IF(Data[[#This Row],[Age]]&lt;25,"Under 25",IF(Data[[#This Row],[Age]]&lt;35,"25–34",IF(Data[[#This Row],[Age]]&lt;45,"35–44",IF(Data[[#This Row],[Age]]&lt;55,"45–54","55+"))))</f>
        <v>55+</v>
      </c>
      <c r="H1656" t="s">
        <v>49</v>
      </c>
      <c r="I1656" t="s">
        <v>56</v>
      </c>
      <c r="J1656" t="s">
        <v>26</v>
      </c>
      <c r="K1656" s="1">
        <v>38447</v>
      </c>
      <c r="M1656" s="1" t="str">
        <f>IF(ISBLANK(Data[[#This Row],[EndDate]]),"Active","InActive")</f>
        <v>Active</v>
      </c>
      <c r="N1656" t="s">
        <v>57</v>
      </c>
      <c r="O1656" t="s">
        <v>77</v>
      </c>
      <c r="P1656" t="s">
        <v>32</v>
      </c>
      <c r="Q1656" s="2">
        <v>40194</v>
      </c>
    </row>
    <row r="1657" spans="1:17" x14ac:dyDescent="0.2">
      <c r="A1657" s="1">
        <v>43435</v>
      </c>
      <c r="B1657">
        <v>56526</v>
      </c>
      <c r="C1657" t="s">
        <v>80</v>
      </c>
      <c r="D1657" t="s">
        <v>47</v>
      </c>
      <c r="E1657" t="s">
        <v>73</v>
      </c>
      <c r="F1657" s="5">
        <v>63</v>
      </c>
      <c r="G1657" t="str">
        <f>IF(Data[[#This Row],[Age]]&lt;25,"Under 25",IF(Data[[#This Row],[Age]]&lt;35,"25–34",IF(Data[[#This Row],[Age]]&lt;45,"35–44",IF(Data[[#This Row],[Age]]&lt;55,"45–54","55+"))))</f>
        <v>55+</v>
      </c>
      <c r="H1657" t="s">
        <v>59</v>
      </c>
      <c r="I1657" t="s">
        <v>56</v>
      </c>
      <c r="J1657" t="s">
        <v>35</v>
      </c>
      <c r="K1657" s="1">
        <v>31958</v>
      </c>
      <c r="M1657" s="1" t="str">
        <f>IF(ISBLANK(Data[[#This Row],[EndDate]]),"Active","InActive")</f>
        <v>Active</v>
      </c>
      <c r="N1657" t="s">
        <v>57</v>
      </c>
      <c r="O1657" t="s">
        <v>77</v>
      </c>
      <c r="P1657" t="s">
        <v>40</v>
      </c>
      <c r="Q1657" s="2">
        <v>98784</v>
      </c>
    </row>
    <row r="1658" spans="1:17" x14ac:dyDescent="0.2">
      <c r="A1658" s="1">
        <v>42705</v>
      </c>
      <c r="B1658">
        <v>41344</v>
      </c>
      <c r="C1658" t="s">
        <v>80</v>
      </c>
      <c r="D1658" t="s">
        <v>43</v>
      </c>
      <c r="E1658" t="s">
        <v>66</v>
      </c>
      <c r="F1658" s="5">
        <v>64</v>
      </c>
      <c r="G1658" t="str">
        <f>IF(Data[[#This Row],[Age]]&lt;25,"Under 25",IF(Data[[#This Row],[Age]]&lt;35,"25–34",IF(Data[[#This Row],[Age]]&lt;45,"35–44",IF(Data[[#This Row],[Age]]&lt;55,"45–54","55+"))))</f>
        <v>55+</v>
      </c>
      <c r="H1658" t="s">
        <v>25</v>
      </c>
      <c r="I1658" t="s">
        <v>18</v>
      </c>
      <c r="J1658" t="s">
        <v>37</v>
      </c>
      <c r="K1658" s="1">
        <v>38594</v>
      </c>
      <c r="M1658" s="1" t="str">
        <f>IF(ISBLANK(Data[[#This Row],[EndDate]]),"Active","InActive")</f>
        <v>Active</v>
      </c>
      <c r="N1658" t="s">
        <v>20</v>
      </c>
      <c r="O1658" t="s">
        <v>77</v>
      </c>
      <c r="P1658" t="s">
        <v>22</v>
      </c>
      <c r="Q1658" s="2">
        <v>20480</v>
      </c>
    </row>
    <row r="1659" spans="1:17" x14ac:dyDescent="0.2">
      <c r="A1659" s="1">
        <v>42705</v>
      </c>
      <c r="B1659">
        <v>103356</v>
      </c>
      <c r="C1659" t="s">
        <v>80</v>
      </c>
      <c r="D1659" t="s">
        <v>41</v>
      </c>
      <c r="E1659" t="s">
        <v>42</v>
      </c>
      <c r="F1659" s="5">
        <v>64</v>
      </c>
      <c r="G1659" t="str">
        <f>IF(Data[[#This Row],[Age]]&lt;25,"Under 25",IF(Data[[#This Row],[Age]]&lt;35,"25–34",IF(Data[[#This Row],[Age]]&lt;45,"35–44",IF(Data[[#This Row],[Age]]&lt;55,"45–54","55+"))))</f>
        <v>55+</v>
      </c>
      <c r="H1659" t="s">
        <v>17</v>
      </c>
      <c r="I1659" t="s">
        <v>18</v>
      </c>
      <c r="J1659" t="s">
        <v>37</v>
      </c>
      <c r="K1659" s="1">
        <v>39925</v>
      </c>
      <c r="M1659" s="1" t="str">
        <f>IF(ISBLANK(Data[[#This Row],[EndDate]]),"Active","InActive")</f>
        <v>Active</v>
      </c>
      <c r="N1659" t="s">
        <v>20</v>
      </c>
      <c r="O1659" t="s">
        <v>77</v>
      </c>
      <c r="P1659" t="s">
        <v>22</v>
      </c>
      <c r="Q1659" s="2">
        <v>113152</v>
      </c>
    </row>
    <row r="1660" spans="1:17" x14ac:dyDescent="0.2">
      <c r="A1660" s="1">
        <v>43435</v>
      </c>
      <c r="B1660">
        <v>43682</v>
      </c>
      <c r="C1660" t="s">
        <v>80</v>
      </c>
      <c r="D1660" t="s">
        <v>27</v>
      </c>
      <c r="E1660" t="s">
        <v>72</v>
      </c>
      <c r="F1660" s="5">
        <v>64</v>
      </c>
      <c r="G1660" t="str">
        <f>IF(Data[[#This Row],[Age]]&lt;25,"Under 25",IF(Data[[#This Row],[Age]]&lt;35,"25–34",IF(Data[[#This Row],[Age]]&lt;45,"35–44",IF(Data[[#This Row],[Age]]&lt;55,"45–54","55+"))))</f>
        <v>55+</v>
      </c>
      <c r="H1660" t="s">
        <v>25</v>
      </c>
      <c r="I1660" t="s">
        <v>18</v>
      </c>
      <c r="J1660" t="s">
        <v>37</v>
      </c>
      <c r="K1660" s="1">
        <v>41591</v>
      </c>
      <c r="M1660" s="1" t="str">
        <f>IF(ISBLANK(Data[[#This Row],[EndDate]]),"Active","InActive")</f>
        <v>Active</v>
      </c>
      <c r="N1660" t="s">
        <v>20</v>
      </c>
      <c r="O1660" t="s">
        <v>77</v>
      </c>
      <c r="P1660" t="s">
        <v>40</v>
      </c>
      <c r="Q1660" s="2">
        <v>68736</v>
      </c>
    </row>
    <row r="1661" spans="1:17" x14ac:dyDescent="0.2">
      <c r="A1661" s="1">
        <v>43435</v>
      </c>
      <c r="B1661">
        <v>52290</v>
      </c>
      <c r="C1661" t="s">
        <v>80</v>
      </c>
      <c r="D1661" t="s">
        <v>43</v>
      </c>
      <c r="E1661" t="s">
        <v>66</v>
      </c>
      <c r="F1661" s="5">
        <v>64</v>
      </c>
      <c r="G1661" t="str">
        <f>IF(Data[[#This Row],[Age]]&lt;25,"Under 25",IF(Data[[#This Row],[Age]]&lt;35,"25–34",IF(Data[[#This Row],[Age]]&lt;45,"35–44",IF(Data[[#This Row],[Age]]&lt;55,"45–54","55+"))))</f>
        <v>55+</v>
      </c>
      <c r="H1661" t="s">
        <v>17</v>
      </c>
      <c r="I1661" t="s">
        <v>18</v>
      </c>
      <c r="J1661" t="s">
        <v>26</v>
      </c>
      <c r="K1661" s="1">
        <v>39385</v>
      </c>
      <c r="M1661" s="1" t="str">
        <f>IF(ISBLANK(Data[[#This Row],[EndDate]]),"Active","InActive")</f>
        <v>Active</v>
      </c>
      <c r="N1661" t="s">
        <v>20</v>
      </c>
      <c r="O1661" t="s">
        <v>77</v>
      </c>
      <c r="P1661" t="s">
        <v>40</v>
      </c>
      <c r="Q1661" s="2">
        <v>72064</v>
      </c>
    </row>
    <row r="1662" spans="1:17" x14ac:dyDescent="0.2">
      <c r="A1662" s="1">
        <v>43435</v>
      </c>
      <c r="B1662">
        <v>55780</v>
      </c>
      <c r="C1662" t="s">
        <v>80</v>
      </c>
      <c r="D1662" t="s">
        <v>38</v>
      </c>
      <c r="E1662" t="s">
        <v>45</v>
      </c>
      <c r="F1662" s="5">
        <v>64</v>
      </c>
      <c r="G1662" t="str">
        <f>IF(Data[[#This Row],[Age]]&lt;25,"Under 25",IF(Data[[#This Row],[Age]]&lt;35,"25–34",IF(Data[[#This Row],[Age]]&lt;45,"35–44",IF(Data[[#This Row],[Age]]&lt;55,"45–54","55+"))))</f>
        <v>55+</v>
      </c>
      <c r="H1662" t="s">
        <v>49</v>
      </c>
      <c r="I1662" t="s">
        <v>18</v>
      </c>
      <c r="J1662" t="s">
        <v>37</v>
      </c>
      <c r="K1662" s="1">
        <v>40773</v>
      </c>
      <c r="M1662" s="1" t="str">
        <f>IF(ISBLANK(Data[[#This Row],[EndDate]]),"Active","InActive")</f>
        <v>Active</v>
      </c>
      <c r="N1662" t="s">
        <v>20</v>
      </c>
      <c r="O1662" t="s">
        <v>77</v>
      </c>
      <c r="P1662" t="s">
        <v>40</v>
      </c>
      <c r="Q1662" s="2">
        <v>80896</v>
      </c>
    </row>
    <row r="1663" spans="1:17" x14ac:dyDescent="0.2">
      <c r="A1663" s="1">
        <v>43435</v>
      </c>
      <c r="B1663">
        <v>56358</v>
      </c>
      <c r="C1663" t="s">
        <v>80</v>
      </c>
      <c r="D1663" t="s">
        <v>15</v>
      </c>
      <c r="E1663" t="s">
        <v>16</v>
      </c>
      <c r="F1663" s="5">
        <v>64</v>
      </c>
      <c r="G1663" t="str">
        <f>IF(Data[[#This Row],[Age]]&lt;25,"Under 25",IF(Data[[#This Row],[Age]]&lt;35,"25–34",IF(Data[[#This Row],[Age]]&lt;45,"35–44",IF(Data[[#This Row],[Age]]&lt;55,"45–54","55+"))))</f>
        <v>55+</v>
      </c>
      <c r="H1663" t="s">
        <v>34</v>
      </c>
      <c r="I1663" t="s">
        <v>18</v>
      </c>
      <c r="J1663" t="s">
        <v>26</v>
      </c>
      <c r="K1663" s="1">
        <v>39136</v>
      </c>
      <c r="M1663" s="1" t="str">
        <f>IF(ISBLANK(Data[[#This Row],[EndDate]]),"Active","InActive")</f>
        <v>Active</v>
      </c>
      <c r="N1663" t="s">
        <v>20</v>
      </c>
      <c r="O1663" t="s">
        <v>77</v>
      </c>
      <c r="P1663" t="s">
        <v>40</v>
      </c>
      <c r="Q1663" s="2">
        <v>46592</v>
      </c>
    </row>
    <row r="1664" spans="1:17" x14ac:dyDescent="0.2">
      <c r="A1664" s="1">
        <v>42705</v>
      </c>
      <c r="B1664">
        <v>56490</v>
      </c>
      <c r="C1664" t="s">
        <v>80</v>
      </c>
      <c r="D1664" t="s">
        <v>52</v>
      </c>
      <c r="E1664" t="s">
        <v>67</v>
      </c>
      <c r="F1664" s="5">
        <v>64</v>
      </c>
      <c r="G1664" t="str">
        <f>IF(Data[[#This Row],[Age]]&lt;25,"Under 25",IF(Data[[#This Row],[Age]]&lt;35,"25–34",IF(Data[[#This Row],[Age]]&lt;45,"35–44",IF(Data[[#This Row],[Age]]&lt;55,"45–54","55+"))))</f>
        <v>55+</v>
      </c>
      <c r="H1664" t="s">
        <v>17</v>
      </c>
      <c r="I1664" t="s">
        <v>56</v>
      </c>
      <c r="J1664" t="s">
        <v>35</v>
      </c>
      <c r="K1664" s="1">
        <v>32435</v>
      </c>
      <c r="M1664" s="1" t="str">
        <f>IF(ISBLANK(Data[[#This Row],[EndDate]]),"Active","InActive")</f>
        <v>Active</v>
      </c>
      <c r="N1664" t="s">
        <v>57</v>
      </c>
      <c r="O1664" t="s">
        <v>77</v>
      </c>
      <c r="P1664" t="s">
        <v>22</v>
      </c>
      <c r="Q1664" s="2">
        <v>78336</v>
      </c>
    </row>
    <row r="1665" spans="1:17" x14ac:dyDescent="0.2">
      <c r="A1665" s="1">
        <v>43070</v>
      </c>
      <c r="B1665">
        <v>42236</v>
      </c>
      <c r="C1665" t="s">
        <v>80</v>
      </c>
      <c r="D1665" t="s">
        <v>38</v>
      </c>
      <c r="E1665" t="s">
        <v>61</v>
      </c>
      <c r="F1665" s="5">
        <v>64</v>
      </c>
      <c r="G1665" t="str">
        <f>IF(Data[[#This Row],[Age]]&lt;25,"Under 25",IF(Data[[#This Row],[Age]]&lt;35,"25–34",IF(Data[[#This Row],[Age]]&lt;45,"35–44",IF(Data[[#This Row],[Age]]&lt;55,"45–54","55+"))))</f>
        <v>55+</v>
      </c>
      <c r="H1665" t="s">
        <v>17</v>
      </c>
      <c r="I1665" t="s">
        <v>56</v>
      </c>
      <c r="J1665" t="s">
        <v>35</v>
      </c>
      <c r="K1665" s="1">
        <v>40709</v>
      </c>
      <c r="M1665" s="1" t="str">
        <f>IF(ISBLANK(Data[[#This Row],[EndDate]]),"Active","InActive")</f>
        <v>Active</v>
      </c>
      <c r="N1665" t="s">
        <v>57</v>
      </c>
      <c r="O1665" t="s">
        <v>77</v>
      </c>
      <c r="P1665" t="s">
        <v>32</v>
      </c>
      <c r="Q1665" s="2">
        <v>106880</v>
      </c>
    </row>
    <row r="1666" spans="1:17" x14ac:dyDescent="0.2">
      <c r="A1666" s="1">
        <v>43070</v>
      </c>
      <c r="B1666">
        <v>43790</v>
      </c>
      <c r="C1666" t="s">
        <v>79</v>
      </c>
      <c r="D1666" t="s">
        <v>15</v>
      </c>
      <c r="E1666" t="s">
        <v>16</v>
      </c>
      <c r="F1666" s="5">
        <v>64</v>
      </c>
      <c r="G1666" t="str">
        <f>IF(Data[[#This Row],[Age]]&lt;25,"Under 25",IF(Data[[#This Row],[Age]]&lt;35,"25–34",IF(Data[[#This Row],[Age]]&lt;45,"35–44",IF(Data[[#This Row],[Age]]&lt;55,"45–54","55+"))))</f>
        <v>55+</v>
      </c>
      <c r="H1666" t="s">
        <v>31</v>
      </c>
      <c r="I1666" t="s">
        <v>56</v>
      </c>
      <c r="J1666" t="s">
        <v>37</v>
      </c>
      <c r="K1666" s="1">
        <v>40026</v>
      </c>
      <c r="M1666" s="1" t="str">
        <f>IF(ISBLANK(Data[[#This Row],[EndDate]]),"Active","InActive")</f>
        <v>Active</v>
      </c>
      <c r="N1666" t="s">
        <v>57</v>
      </c>
      <c r="O1666" t="s">
        <v>77</v>
      </c>
      <c r="P1666" t="s">
        <v>32</v>
      </c>
      <c r="Q1666" s="2">
        <v>78080</v>
      </c>
    </row>
    <row r="1667" spans="1:17" x14ac:dyDescent="0.2">
      <c r="A1667" s="1">
        <v>43435</v>
      </c>
      <c r="B1667">
        <v>54890</v>
      </c>
      <c r="C1667" t="s">
        <v>79</v>
      </c>
      <c r="D1667" t="s">
        <v>50</v>
      </c>
      <c r="E1667" t="s">
        <v>63</v>
      </c>
      <c r="F1667" s="5">
        <v>64</v>
      </c>
      <c r="G1667" t="str">
        <f>IF(Data[[#This Row],[Age]]&lt;25,"Under 25",IF(Data[[#This Row],[Age]]&lt;35,"25–34",IF(Data[[#This Row],[Age]]&lt;45,"35–44",IF(Data[[#This Row],[Age]]&lt;55,"45–54","55+"))))</f>
        <v>55+</v>
      </c>
      <c r="H1667" t="s">
        <v>49</v>
      </c>
      <c r="I1667" t="s">
        <v>56</v>
      </c>
      <c r="J1667" t="s">
        <v>26</v>
      </c>
      <c r="K1667" s="1">
        <v>38447</v>
      </c>
      <c r="M1667" s="1" t="str">
        <f>IF(ISBLANK(Data[[#This Row],[EndDate]]),"Active","InActive")</f>
        <v>Active</v>
      </c>
      <c r="N1667" t="s">
        <v>57</v>
      </c>
      <c r="O1667" t="s">
        <v>77</v>
      </c>
      <c r="P1667" t="s">
        <v>40</v>
      </c>
      <c r="Q1667" s="2">
        <v>109312</v>
      </c>
    </row>
    <row r="1668" spans="1:17" x14ac:dyDescent="0.2">
      <c r="A1668" s="1">
        <v>42705</v>
      </c>
      <c r="B1668">
        <v>99518</v>
      </c>
      <c r="C1668" t="s">
        <v>79</v>
      </c>
      <c r="D1668" t="s">
        <v>50</v>
      </c>
      <c r="E1668" t="s">
        <v>51</v>
      </c>
      <c r="F1668" s="5">
        <v>64</v>
      </c>
      <c r="G1668" t="str">
        <f>IF(Data[[#This Row],[Age]]&lt;25,"Under 25",IF(Data[[#This Row],[Age]]&lt;35,"25–34",IF(Data[[#This Row],[Age]]&lt;45,"35–44",IF(Data[[#This Row],[Age]]&lt;55,"45–54","55+"))))</f>
        <v>55+</v>
      </c>
      <c r="H1668" t="s">
        <v>31</v>
      </c>
      <c r="I1668" t="s">
        <v>18</v>
      </c>
      <c r="J1668" t="s">
        <v>37</v>
      </c>
      <c r="K1668" s="1">
        <v>41243</v>
      </c>
      <c r="M1668" s="1" t="str">
        <f>IF(ISBLANK(Data[[#This Row],[EndDate]]),"Active","InActive")</f>
        <v>Active</v>
      </c>
      <c r="N1668" t="s">
        <v>20</v>
      </c>
      <c r="O1668" t="s">
        <v>77</v>
      </c>
      <c r="P1668" t="s">
        <v>22</v>
      </c>
      <c r="Q1668" s="2">
        <v>85376</v>
      </c>
    </row>
    <row r="1669" spans="1:17" x14ac:dyDescent="0.2">
      <c r="A1669" s="1">
        <v>43070</v>
      </c>
      <c r="B1669">
        <v>41344</v>
      </c>
      <c r="C1669" t="s">
        <v>80</v>
      </c>
      <c r="D1669" t="s">
        <v>43</v>
      </c>
      <c r="E1669" t="s">
        <v>66</v>
      </c>
      <c r="F1669" s="5">
        <v>65</v>
      </c>
      <c r="G1669" t="str">
        <f>IF(Data[[#This Row],[Age]]&lt;25,"Under 25",IF(Data[[#This Row],[Age]]&lt;35,"25–34",IF(Data[[#This Row],[Age]]&lt;45,"35–44",IF(Data[[#This Row],[Age]]&lt;55,"45–54","55+"))))</f>
        <v>55+</v>
      </c>
      <c r="H1669" t="s">
        <v>25</v>
      </c>
      <c r="I1669" t="s">
        <v>18</v>
      </c>
      <c r="J1669" t="s">
        <v>37</v>
      </c>
      <c r="K1669" s="1">
        <v>38594</v>
      </c>
      <c r="M1669" s="1" t="str">
        <f>IF(ISBLANK(Data[[#This Row],[EndDate]]),"Active","InActive")</f>
        <v>Active</v>
      </c>
      <c r="N1669" t="s">
        <v>20</v>
      </c>
      <c r="O1669" t="s">
        <v>77</v>
      </c>
      <c r="P1669" t="s">
        <v>32</v>
      </c>
      <c r="Q1669" s="2">
        <v>28600</v>
      </c>
    </row>
    <row r="1670" spans="1:17" x14ac:dyDescent="0.2">
      <c r="A1670" s="1">
        <v>43435</v>
      </c>
      <c r="B1670">
        <v>52472</v>
      </c>
      <c r="C1670" t="s">
        <v>80</v>
      </c>
      <c r="D1670" t="s">
        <v>52</v>
      </c>
      <c r="E1670" t="s">
        <v>53</v>
      </c>
      <c r="F1670" s="5">
        <v>65</v>
      </c>
      <c r="G1670" t="str">
        <f>IF(Data[[#This Row],[Age]]&lt;25,"Under 25",IF(Data[[#This Row],[Age]]&lt;35,"25–34",IF(Data[[#This Row],[Age]]&lt;45,"35–44",IF(Data[[#This Row],[Age]]&lt;55,"45–54","55+"))))</f>
        <v>55+</v>
      </c>
      <c r="H1670" t="s">
        <v>25</v>
      </c>
      <c r="I1670" t="s">
        <v>18</v>
      </c>
      <c r="J1670" t="s">
        <v>37</v>
      </c>
      <c r="K1670" s="1">
        <v>41948</v>
      </c>
      <c r="M1670" s="1" t="str">
        <f>IF(ISBLANK(Data[[#This Row],[EndDate]]),"Active","InActive")</f>
        <v>Active</v>
      </c>
      <c r="N1670" t="s">
        <v>20</v>
      </c>
      <c r="O1670" t="s">
        <v>77</v>
      </c>
      <c r="P1670" t="s">
        <v>40</v>
      </c>
      <c r="Q1670" s="2">
        <v>57200</v>
      </c>
    </row>
    <row r="1671" spans="1:17" x14ac:dyDescent="0.2">
      <c r="A1671" s="1">
        <v>43070</v>
      </c>
      <c r="B1671">
        <v>56490</v>
      </c>
      <c r="C1671" t="s">
        <v>80</v>
      </c>
      <c r="D1671" t="s">
        <v>52</v>
      </c>
      <c r="E1671" t="s">
        <v>67</v>
      </c>
      <c r="F1671" s="5">
        <v>65</v>
      </c>
      <c r="G1671" t="str">
        <f>IF(Data[[#This Row],[Age]]&lt;25,"Under 25",IF(Data[[#This Row],[Age]]&lt;35,"25–34",IF(Data[[#This Row],[Age]]&lt;45,"35–44",IF(Data[[#This Row],[Age]]&lt;55,"45–54","55+"))))</f>
        <v>55+</v>
      </c>
      <c r="H1671" t="s">
        <v>17</v>
      </c>
      <c r="I1671" t="s">
        <v>56</v>
      </c>
      <c r="J1671" t="s">
        <v>35</v>
      </c>
      <c r="K1671" s="1">
        <v>32435</v>
      </c>
      <c r="M1671" s="1" t="str">
        <f>IF(ISBLANK(Data[[#This Row],[EndDate]]),"Active","InActive")</f>
        <v>Active</v>
      </c>
      <c r="N1671" t="s">
        <v>57</v>
      </c>
      <c r="O1671" t="s">
        <v>77</v>
      </c>
      <c r="P1671" t="s">
        <v>32</v>
      </c>
      <c r="Q1671" s="2">
        <v>47580</v>
      </c>
    </row>
    <row r="1672" spans="1:17" x14ac:dyDescent="0.2">
      <c r="A1672" s="1">
        <v>43435</v>
      </c>
      <c r="B1672">
        <v>42236</v>
      </c>
      <c r="C1672" t="s">
        <v>80</v>
      </c>
      <c r="D1672" t="s">
        <v>38</v>
      </c>
      <c r="E1672" t="s">
        <v>61</v>
      </c>
      <c r="F1672" s="5">
        <v>65</v>
      </c>
      <c r="G1672" t="str">
        <f>IF(Data[[#This Row],[Age]]&lt;25,"Under 25",IF(Data[[#This Row],[Age]]&lt;35,"25–34",IF(Data[[#This Row],[Age]]&lt;45,"35–44",IF(Data[[#This Row],[Age]]&lt;55,"45–54","55+"))))</f>
        <v>55+</v>
      </c>
      <c r="H1672" t="s">
        <v>17</v>
      </c>
      <c r="I1672" t="s">
        <v>56</v>
      </c>
      <c r="J1672" t="s">
        <v>35</v>
      </c>
      <c r="K1672" s="1">
        <v>40709</v>
      </c>
      <c r="M1672" s="1" t="str">
        <f>IF(ISBLANK(Data[[#This Row],[EndDate]]),"Active","InActive")</f>
        <v>Active</v>
      </c>
      <c r="N1672" t="s">
        <v>57</v>
      </c>
      <c r="O1672" t="s">
        <v>77</v>
      </c>
      <c r="P1672" t="s">
        <v>40</v>
      </c>
      <c r="Q1672" s="2">
        <v>13780</v>
      </c>
    </row>
    <row r="1673" spans="1:17" x14ac:dyDescent="0.2">
      <c r="A1673" s="1">
        <v>43435</v>
      </c>
      <c r="B1673">
        <v>43790</v>
      </c>
      <c r="C1673" t="s">
        <v>79</v>
      </c>
      <c r="D1673" t="s">
        <v>15</v>
      </c>
      <c r="E1673" t="s">
        <v>16</v>
      </c>
      <c r="F1673" s="5">
        <v>65</v>
      </c>
      <c r="G1673" t="str">
        <f>IF(Data[[#This Row],[Age]]&lt;25,"Under 25",IF(Data[[#This Row],[Age]]&lt;35,"25–34",IF(Data[[#This Row],[Age]]&lt;45,"35–44",IF(Data[[#This Row],[Age]]&lt;55,"45–54","55+"))))</f>
        <v>55+</v>
      </c>
      <c r="H1673" t="s">
        <v>31</v>
      </c>
      <c r="I1673" t="s">
        <v>56</v>
      </c>
      <c r="J1673" t="s">
        <v>37</v>
      </c>
      <c r="K1673" s="1">
        <v>40026</v>
      </c>
      <c r="M1673" s="1" t="str">
        <f>IF(ISBLANK(Data[[#This Row],[EndDate]]),"Active","InActive")</f>
        <v>Active</v>
      </c>
      <c r="N1673" t="s">
        <v>57</v>
      </c>
      <c r="O1673" t="s">
        <v>77</v>
      </c>
      <c r="P1673" t="s">
        <v>40</v>
      </c>
      <c r="Q1673" s="2">
        <v>23010</v>
      </c>
    </row>
    <row r="1674" spans="1:17" x14ac:dyDescent="0.2">
      <c r="A1674" s="1">
        <v>42705</v>
      </c>
      <c r="B1674">
        <v>53218</v>
      </c>
      <c r="C1674" t="s">
        <v>80</v>
      </c>
      <c r="D1674" t="s">
        <v>15</v>
      </c>
      <c r="E1674" t="s">
        <v>58</v>
      </c>
      <c r="F1674" s="5">
        <v>66</v>
      </c>
      <c r="G1674" t="str">
        <f>IF(Data[[#This Row],[Age]]&lt;25,"Under 25",IF(Data[[#This Row],[Age]]&lt;35,"25–34",IF(Data[[#This Row],[Age]]&lt;45,"35–44",IF(Data[[#This Row],[Age]]&lt;55,"45–54","55+"))))</f>
        <v>55+</v>
      </c>
      <c r="H1674" t="s">
        <v>59</v>
      </c>
      <c r="I1674" t="s">
        <v>18</v>
      </c>
      <c r="J1674" t="s">
        <v>37</v>
      </c>
      <c r="K1674" s="1">
        <v>39948</v>
      </c>
      <c r="M1674" s="1" t="str">
        <f>IF(ISBLANK(Data[[#This Row],[EndDate]]),"Active","InActive")</f>
        <v>Active</v>
      </c>
      <c r="N1674" t="s">
        <v>20</v>
      </c>
      <c r="O1674" t="s">
        <v>77</v>
      </c>
      <c r="P1674" t="s">
        <v>22</v>
      </c>
      <c r="Q1674" s="2">
        <v>105600</v>
      </c>
    </row>
    <row r="1675" spans="1:17" x14ac:dyDescent="0.2">
      <c r="A1675" s="1">
        <v>42705</v>
      </c>
      <c r="B1675">
        <v>56354</v>
      </c>
      <c r="C1675" t="s">
        <v>80</v>
      </c>
      <c r="D1675" t="s">
        <v>29</v>
      </c>
      <c r="E1675" t="s">
        <v>30</v>
      </c>
      <c r="F1675" s="5">
        <v>66</v>
      </c>
      <c r="G1675" t="str">
        <f>IF(Data[[#This Row],[Age]]&lt;25,"Under 25",IF(Data[[#This Row],[Age]]&lt;35,"25–34",IF(Data[[#This Row],[Age]]&lt;45,"35–44",IF(Data[[#This Row],[Age]]&lt;55,"45–54","55+"))))</f>
        <v>55+</v>
      </c>
      <c r="H1675" t="s">
        <v>31</v>
      </c>
      <c r="I1675" t="s">
        <v>18</v>
      </c>
      <c r="J1675" t="s">
        <v>26</v>
      </c>
      <c r="K1675" s="1">
        <v>40764</v>
      </c>
      <c r="M1675" s="1" t="str">
        <f>IF(ISBLANK(Data[[#This Row],[EndDate]]),"Active","InActive")</f>
        <v>Active</v>
      </c>
      <c r="N1675" t="s">
        <v>20</v>
      </c>
      <c r="O1675" t="s">
        <v>77</v>
      </c>
      <c r="P1675" t="s">
        <v>22</v>
      </c>
      <c r="Q1675" s="2">
        <v>86064</v>
      </c>
    </row>
    <row r="1676" spans="1:17" x14ac:dyDescent="0.2">
      <c r="A1676" s="1">
        <v>43435</v>
      </c>
      <c r="B1676">
        <v>41344</v>
      </c>
      <c r="C1676" t="s">
        <v>80</v>
      </c>
      <c r="D1676" t="s">
        <v>43</v>
      </c>
      <c r="E1676" t="s">
        <v>66</v>
      </c>
      <c r="F1676" s="5">
        <v>66</v>
      </c>
      <c r="G1676" t="str">
        <f>IF(Data[[#This Row],[Age]]&lt;25,"Under 25",IF(Data[[#This Row],[Age]]&lt;35,"25–34",IF(Data[[#This Row],[Age]]&lt;45,"35–44",IF(Data[[#This Row],[Age]]&lt;55,"45–54","55+"))))</f>
        <v>55+</v>
      </c>
      <c r="H1676" t="s">
        <v>25</v>
      </c>
      <c r="I1676" t="s">
        <v>18</v>
      </c>
      <c r="J1676" t="s">
        <v>37</v>
      </c>
      <c r="K1676" s="1">
        <v>38594</v>
      </c>
      <c r="M1676" s="1" t="str">
        <f>IF(ISBLANK(Data[[#This Row],[EndDate]]),"Active","InActive")</f>
        <v>Active</v>
      </c>
      <c r="N1676" t="s">
        <v>20</v>
      </c>
      <c r="O1676" t="s">
        <v>77</v>
      </c>
      <c r="P1676" t="s">
        <v>40</v>
      </c>
      <c r="Q1676" s="2">
        <v>95304</v>
      </c>
    </row>
    <row r="1677" spans="1:17" x14ac:dyDescent="0.2">
      <c r="A1677" s="1">
        <v>42705</v>
      </c>
      <c r="B1677">
        <v>40554</v>
      </c>
      <c r="C1677" t="s">
        <v>80</v>
      </c>
      <c r="D1677" t="s">
        <v>38</v>
      </c>
      <c r="E1677" t="s">
        <v>39</v>
      </c>
      <c r="F1677" s="5">
        <v>66</v>
      </c>
      <c r="G1677" t="str">
        <f>IF(Data[[#This Row],[Age]]&lt;25,"Under 25",IF(Data[[#This Row],[Age]]&lt;35,"25–34",IF(Data[[#This Row],[Age]]&lt;45,"35–44",IF(Data[[#This Row],[Age]]&lt;55,"45–54","55+"))))</f>
        <v>55+</v>
      </c>
      <c r="H1677" t="s">
        <v>59</v>
      </c>
      <c r="I1677" t="s">
        <v>18</v>
      </c>
      <c r="J1677" t="s">
        <v>37</v>
      </c>
      <c r="K1677" s="1">
        <v>39136</v>
      </c>
      <c r="M1677" s="1" t="str">
        <f>IF(ISBLANK(Data[[#This Row],[EndDate]]),"Active","InActive")</f>
        <v>Active</v>
      </c>
      <c r="N1677" t="s">
        <v>20</v>
      </c>
      <c r="O1677" t="s">
        <v>77</v>
      </c>
      <c r="P1677" t="s">
        <v>22</v>
      </c>
      <c r="Q1677" s="2">
        <v>60456</v>
      </c>
    </row>
    <row r="1678" spans="1:17" x14ac:dyDescent="0.2">
      <c r="A1678" s="1">
        <v>42705</v>
      </c>
      <c r="B1678">
        <v>51316</v>
      </c>
      <c r="C1678" t="s">
        <v>79</v>
      </c>
      <c r="D1678" t="s">
        <v>29</v>
      </c>
      <c r="E1678" t="s">
        <v>36</v>
      </c>
      <c r="F1678" s="5">
        <v>66</v>
      </c>
      <c r="G1678" t="str">
        <f>IF(Data[[#This Row],[Age]]&lt;25,"Under 25",IF(Data[[#This Row],[Age]]&lt;35,"25–34",IF(Data[[#This Row],[Age]]&lt;45,"35–44",IF(Data[[#This Row],[Age]]&lt;55,"45–54","55+"))))</f>
        <v>55+</v>
      </c>
      <c r="H1678" t="s">
        <v>59</v>
      </c>
      <c r="I1678" t="s">
        <v>56</v>
      </c>
      <c r="J1678" t="s">
        <v>37</v>
      </c>
      <c r="K1678" s="1">
        <v>39385</v>
      </c>
      <c r="M1678" s="1" t="str">
        <f>IF(ISBLANK(Data[[#This Row],[EndDate]]),"Active","InActive")</f>
        <v>Active</v>
      </c>
      <c r="N1678" t="s">
        <v>57</v>
      </c>
      <c r="O1678" t="s">
        <v>77</v>
      </c>
      <c r="P1678" t="s">
        <v>22</v>
      </c>
      <c r="Q1678" s="2">
        <v>48312</v>
      </c>
    </row>
    <row r="1679" spans="1:17" x14ac:dyDescent="0.2">
      <c r="A1679" s="1">
        <v>43435</v>
      </c>
      <c r="B1679">
        <v>56490</v>
      </c>
      <c r="C1679" t="s">
        <v>80</v>
      </c>
      <c r="D1679" t="s">
        <v>52</v>
      </c>
      <c r="E1679" t="s">
        <v>67</v>
      </c>
      <c r="F1679" s="5">
        <v>66</v>
      </c>
      <c r="G1679" t="str">
        <f>IF(Data[[#This Row],[Age]]&lt;25,"Under 25",IF(Data[[#This Row],[Age]]&lt;35,"25–34",IF(Data[[#This Row],[Age]]&lt;45,"35–44",IF(Data[[#This Row],[Age]]&lt;55,"45–54","55+"))))</f>
        <v>55+</v>
      </c>
      <c r="H1679" t="s">
        <v>17</v>
      </c>
      <c r="I1679" t="s">
        <v>56</v>
      </c>
      <c r="J1679" t="s">
        <v>35</v>
      </c>
      <c r="K1679" s="1">
        <v>32435</v>
      </c>
      <c r="M1679" s="1" t="str">
        <f>IF(ISBLANK(Data[[#This Row],[EndDate]]),"Active","InActive")</f>
        <v>Active</v>
      </c>
      <c r="N1679" t="s">
        <v>57</v>
      </c>
      <c r="O1679" t="s">
        <v>77</v>
      </c>
      <c r="P1679" t="s">
        <v>40</v>
      </c>
      <c r="Q1679" s="2">
        <v>64944</v>
      </c>
    </row>
    <row r="1680" spans="1:17" x14ac:dyDescent="0.2">
      <c r="A1680" s="1">
        <v>42705</v>
      </c>
      <c r="B1680">
        <v>54472</v>
      </c>
      <c r="C1680" t="s">
        <v>79</v>
      </c>
      <c r="D1680" t="s">
        <v>41</v>
      </c>
      <c r="E1680" t="s">
        <v>42</v>
      </c>
      <c r="F1680" s="5">
        <v>67</v>
      </c>
      <c r="G1680" t="str">
        <f>IF(Data[[#This Row],[Age]]&lt;25,"Under 25",IF(Data[[#This Row],[Age]]&lt;35,"25–34",IF(Data[[#This Row],[Age]]&lt;45,"35–44",IF(Data[[#This Row],[Age]]&lt;55,"45–54","55+"))))</f>
        <v>55+</v>
      </c>
      <c r="H1680" t="s">
        <v>46</v>
      </c>
      <c r="I1680" t="s">
        <v>56</v>
      </c>
      <c r="J1680" t="s">
        <v>37</v>
      </c>
      <c r="K1680" s="1">
        <v>37495</v>
      </c>
      <c r="M1680" s="1" t="str">
        <f>IF(ISBLANK(Data[[#This Row],[EndDate]]),"Active","InActive")</f>
        <v>Active</v>
      </c>
      <c r="N1680" t="s">
        <v>57</v>
      </c>
      <c r="O1680" t="s">
        <v>77</v>
      </c>
      <c r="P1680" t="s">
        <v>22</v>
      </c>
      <c r="Q1680" s="2">
        <v>59898</v>
      </c>
    </row>
    <row r="1681" spans="1:17" x14ac:dyDescent="0.2">
      <c r="A1681" s="1">
        <v>43070</v>
      </c>
      <c r="B1681">
        <v>53218</v>
      </c>
      <c r="C1681" t="s">
        <v>80</v>
      </c>
      <c r="D1681" t="s">
        <v>15</v>
      </c>
      <c r="E1681" t="s">
        <v>58</v>
      </c>
      <c r="F1681" s="5">
        <v>67</v>
      </c>
      <c r="G1681" t="str">
        <f>IF(Data[[#This Row],[Age]]&lt;25,"Under 25",IF(Data[[#This Row],[Age]]&lt;35,"25–34",IF(Data[[#This Row],[Age]]&lt;45,"35–44",IF(Data[[#This Row],[Age]]&lt;55,"45–54","55+"))))</f>
        <v>55+</v>
      </c>
      <c r="H1681" t="s">
        <v>59</v>
      </c>
      <c r="I1681" t="s">
        <v>18</v>
      </c>
      <c r="J1681" t="s">
        <v>37</v>
      </c>
      <c r="K1681" s="1">
        <v>39948</v>
      </c>
      <c r="M1681" s="1" t="str">
        <f>IF(ISBLANK(Data[[#This Row],[EndDate]]),"Active","InActive")</f>
        <v>Active</v>
      </c>
      <c r="N1681" t="s">
        <v>20</v>
      </c>
      <c r="O1681" t="s">
        <v>77</v>
      </c>
      <c r="P1681" t="s">
        <v>32</v>
      </c>
      <c r="Q1681" s="2">
        <v>25058</v>
      </c>
    </row>
    <row r="1682" spans="1:17" x14ac:dyDescent="0.2">
      <c r="A1682" s="1">
        <v>43070</v>
      </c>
      <c r="B1682">
        <v>56354</v>
      </c>
      <c r="C1682" t="s">
        <v>80</v>
      </c>
      <c r="D1682" t="s">
        <v>29</v>
      </c>
      <c r="E1682" t="s">
        <v>30</v>
      </c>
      <c r="F1682" s="5">
        <v>67</v>
      </c>
      <c r="G1682" t="str">
        <f>IF(Data[[#This Row],[Age]]&lt;25,"Under 25",IF(Data[[#This Row],[Age]]&lt;35,"25–34",IF(Data[[#This Row],[Age]]&lt;45,"35–44",IF(Data[[#This Row],[Age]]&lt;55,"45–54","55+"))))</f>
        <v>55+</v>
      </c>
      <c r="H1682" t="s">
        <v>31</v>
      </c>
      <c r="I1682" t="s">
        <v>18</v>
      </c>
      <c r="J1682" t="s">
        <v>26</v>
      </c>
      <c r="K1682" s="1">
        <v>40764</v>
      </c>
      <c r="M1682" s="1" t="str">
        <f>IF(ISBLANK(Data[[#This Row],[EndDate]]),"Active","InActive")</f>
        <v>Active</v>
      </c>
      <c r="N1682" t="s">
        <v>20</v>
      </c>
      <c r="O1682" t="s">
        <v>77</v>
      </c>
      <c r="P1682" t="s">
        <v>32</v>
      </c>
      <c r="Q1682" s="2">
        <v>132258</v>
      </c>
    </row>
    <row r="1683" spans="1:17" x14ac:dyDescent="0.2">
      <c r="A1683" s="1">
        <v>43435</v>
      </c>
      <c r="B1683">
        <v>42460</v>
      </c>
      <c r="C1683" t="s">
        <v>80</v>
      </c>
      <c r="D1683" t="s">
        <v>38</v>
      </c>
      <c r="E1683" t="s">
        <v>45</v>
      </c>
      <c r="F1683" s="5">
        <v>67</v>
      </c>
      <c r="G1683" t="str">
        <f>IF(Data[[#This Row],[Age]]&lt;25,"Under 25",IF(Data[[#This Row],[Age]]&lt;35,"25–34",IF(Data[[#This Row],[Age]]&lt;45,"35–44",IF(Data[[#This Row],[Age]]&lt;55,"45–54","55+"))))</f>
        <v>55+</v>
      </c>
      <c r="H1683" t="s">
        <v>31</v>
      </c>
      <c r="I1683" t="s">
        <v>18</v>
      </c>
      <c r="J1683" t="s">
        <v>35</v>
      </c>
      <c r="K1683" s="1">
        <v>41794</v>
      </c>
      <c r="M1683" s="1" t="str">
        <f>IF(ISBLANK(Data[[#This Row],[EndDate]]),"Active","InActive")</f>
        <v>Active</v>
      </c>
      <c r="N1683" t="s">
        <v>20</v>
      </c>
      <c r="O1683" t="s">
        <v>77</v>
      </c>
      <c r="P1683" t="s">
        <v>40</v>
      </c>
      <c r="Q1683" s="2">
        <v>16616</v>
      </c>
    </row>
    <row r="1684" spans="1:17" x14ac:dyDescent="0.2">
      <c r="A1684" s="1">
        <v>43435</v>
      </c>
      <c r="B1684">
        <v>51486</v>
      </c>
      <c r="C1684" t="s">
        <v>80</v>
      </c>
      <c r="D1684" t="s">
        <v>38</v>
      </c>
      <c r="E1684" t="s">
        <v>45</v>
      </c>
      <c r="F1684" s="5">
        <v>67</v>
      </c>
      <c r="G1684" t="str">
        <f>IF(Data[[#This Row],[Age]]&lt;25,"Under 25",IF(Data[[#This Row],[Age]]&lt;35,"25–34",IF(Data[[#This Row],[Age]]&lt;45,"35–44",IF(Data[[#This Row],[Age]]&lt;55,"45–54","55+"))))</f>
        <v>55+</v>
      </c>
      <c r="H1684" t="s">
        <v>17</v>
      </c>
      <c r="I1684" t="s">
        <v>18</v>
      </c>
      <c r="J1684" t="s">
        <v>37</v>
      </c>
      <c r="K1684" s="1">
        <v>41859</v>
      </c>
      <c r="M1684" s="1" t="str">
        <f>IF(ISBLANK(Data[[#This Row],[EndDate]]),"Active","InActive")</f>
        <v>Active</v>
      </c>
      <c r="N1684" t="s">
        <v>20</v>
      </c>
      <c r="O1684" t="s">
        <v>77</v>
      </c>
      <c r="P1684" t="s">
        <v>40</v>
      </c>
      <c r="Q1684" s="2">
        <v>73432</v>
      </c>
    </row>
    <row r="1685" spans="1:17" x14ac:dyDescent="0.2">
      <c r="A1685" s="1">
        <v>43070</v>
      </c>
      <c r="B1685">
        <v>40554</v>
      </c>
      <c r="C1685" t="s">
        <v>80</v>
      </c>
      <c r="D1685" t="s">
        <v>38</v>
      </c>
      <c r="E1685" t="s">
        <v>39</v>
      </c>
      <c r="F1685" s="5">
        <v>67</v>
      </c>
      <c r="G1685" t="str">
        <f>IF(Data[[#This Row],[Age]]&lt;25,"Under 25",IF(Data[[#This Row],[Age]]&lt;35,"25–34",IF(Data[[#This Row],[Age]]&lt;45,"35–44",IF(Data[[#This Row],[Age]]&lt;55,"45–54","55+"))))</f>
        <v>55+</v>
      </c>
      <c r="H1685" t="s">
        <v>59</v>
      </c>
      <c r="I1685" t="s">
        <v>18</v>
      </c>
      <c r="J1685" t="s">
        <v>37</v>
      </c>
      <c r="K1685" s="1">
        <v>39136</v>
      </c>
      <c r="M1685" s="1" t="str">
        <f>IF(ISBLANK(Data[[#This Row],[EndDate]]),"Active","InActive")</f>
        <v>Active</v>
      </c>
      <c r="N1685" t="s">
        <v>20</v>
      </c>
      <c r="O1685" t="s">
        <v>77</v>
      </c>
      <c r="P1685" t="s">
        <v>32</v>
      </c>
      <c r="Q1685" s="2">
        <v>118322</v>
      </c>
    </row>
    <row r="1686" spans="1:17" x14ac:dyDescent="0.2">
      <c r="A1686" s="1">
        <v>42705</v>
      </c>
      <c r="B1686">
        <v>22578</v>
      </c>
      <c r="C1686" t="s">
        <v>79</v>
      </c>
      <c r="D1686" t="s">
        <v>52</v>
      </c>
      <c r="E1686" t="s">
        <v>67</v>
      </c>
      <c r="F1686" s="5">
        <v>67</v>
      </c>
      <c r="G1686" t="str">
        <f>IF(Data[[#This Row],[Age]]&lt;25,"Under 25",IF(Data[[#This Row],[Age]]&lt;35,"25–34",IF(Data[[#This Row],[Age]]&lt;45,"35–44",IF(Data[[#This Row],[Age]]&lt;55,"45–54","55+"))))</f>
        <v>55+</v>
      </c>
      <c r="H1686" t="s">
        <v>59</v>
      </c>
      <c r="I1686" t="s">
        <v>56</v>
      </c>
      <c r="J1686" t="s">
        <v>37</v>
      </c>
      <c r="K1686" s="1">
        <v>40668</v>
      </c>
      <c r="M1686" s="1" t="str">
        <f>IF(ISBLANK(Data[[#This Row],[EndDate]]),"Active","InActive")</f>
        <v>Active</v>
      </c>
      <c r="N1686" t="s">
        <v>57</v>
      </c>
      <c r="O1686" t="s">
        <v>77</v>
      </c>
      <c r="P1686" t="s">
        <v>22</v>
      </c>
      <c r="Q1686" s="2">
        <v>43550</v>
      </c>
    </row>
    <row r="1687" spans="1:17" x14ac:dyDescent="0.2">
      <c r="A1687" s="1">
        <v>43070</v>
      </c>
      <c r="B1687">
        <v>51316</v>
      </c>
      <c r="C1687" t="s">
        <v>79</v>
      </c>
      <c r="D1687" t="s">
        <v>29</v>
      </c>
      <c r="E1687" t="s">
        <v>36</v>
      </c>
      <c r="F1687" s="5">
        <v>67</v>
      </c>
      <c r="G1687" t="str">
        <f>IF(Data[[#This Row],[Age]]&lt;25,"Under 25",IF(Data[[#This Row],[Age]]&lt;35,"25–34",IF(Data[[#This Row],[Age]]&lt;45,"35–44",IF(Data[[#This Row],[Age]]&lt;55,"45–54","55+"))))</f>
        <v>55+</v>
      </c>
      <c r="H1687" t="s">
        <v>59</v>
      </c>
      <c r="I1687" t="s">
        <v>56</v>
      </c>
      <c r="J1687" t="s">
        <v>37</v>
      </c>
      <c r="K1687" s="1">
        <v>39385</v>
      </c>
      <c r="M1687" s="1" t="str">
        <f>IF(ISBLANK(Data[[#This Row],[EndDate]]),"Active","InActive")</f>
        <v>Active</v>
      </c>
      <c r="N1687" t="s">
        <v>57</v>
      </c>
      <c r="O1687" t="s">
        <v>77</v>
      </c>
      <c r="P1687" t="s">
        <v>32</v>
      </c>
      <c r="Q1687" s="2">
        <v>131856</v>
      </c>
    </row>
    <row r="1688" spans="1:17" x14ac:dyDescent="0.2">
      <c r="A1688" s="1">
        <v>43070</v>
      </c>
      <c r="B1688">
        <v>54472</v>
      </c>
      <c r="C1688" t="s">
        <v>79</v>
      </c>
      <c r="D1688" t="s">
        <v>41</v>
      </c>
      <c r="E1688" t="s">
        <v>42</v>
      </c>
      <c r="F1688" s="5">
        <v>68</v>
      </c>
      <c r="G1688" t="str">
        <f>IF(Data[[#This Row],[Age]]&lt;25,"Under 25",IF(Data[[#This Row],[Age]]&lt;35,"25–34",IF(Data[[#This Row],[Age]]&lt;45,"35–44",IF(Data[[#This Row],[Age]]&lt;55,"45–54","55+"))))</f>
        <v>55+</v>
      </c>
      <c r="H1688" t="s">
        <v>46</v>
      </c>
      <c r="I1688" t="s">
        <v>56</v>
      </c>
      <c r="J1688" t="s">
        <v>37</v>
      </c>
      <c r="K1688" s="1">
        <v>37495</v>
      </c>
      <c r="M1688" s="1" t="str">
        <f>IF(ISBLANK(Data[[#This Row],[EndDate]]),"Active","InActive")</f>
        <v>Active</v>
      </c>
      <c r="N1688" t="s">
        <v>57</v>
      </c>
      <c r="O1688" t="s">
        <v>77</v>
      </c>
      <c r="P1688" t="s">
        <v>32</v>
      </c>
      <c r="Q1688" s="2">
        <v>120224</v>
      </c>
    </row>
    <row r="1689" spans="1:17" x14ac:dyDescent="0.2">
      <c r="A1689" s="1">
        <v>42705</v>
      </c>
      <c r="B1689">
        <v>52980</v>
      </c>
      <c r="C1689" t="s">
        <v>80</v>
      </c>
      <c r="D1689" t="s">
        <v>27</v>
      </c>
      <c r="E1689" t="s">
        <v>72</v>
      </c>
      <c r="F1689" s="5">
        <v>68</v>
      </c>
      <c r="G1689" t="str">
        <f>IF(Data[[#This Row],[Age]]&lt;25,"Under 25",IF(Data[[#This Row],[Age]]&lt;35,"25–34",IF(Data[[#This Row],[Age]]&lt;45,"35–44",IF(Data[[#This Row],[Age]]&lt;55,"45–54","55+"))))</f>
        <v>55+</v>
      </c>
      <c r="H1689" t="s">
        <v>49</v>
      </c>
      <c r="I1689" t="s">
        <v>18</v>
      </c>
      <c r="J1689" t="s">
        <v>37</v>
      </c>
      <c r="K1689" s="1">
        <v>40695</v>
      </c>
      <c r="M1689" s="1" t="str">
        <f>IF(ISBLANK(Data[[#This Row],[EndDate]]),"Active","InActive")</f>
        <v>Active</v>
      </c>
      <c r="N1689" t="s">
        <v>20</v>
      </c>
      <c r="O1689" t="s">
        <v>77</v>
      </c>
      <c r="P1689" t="s">
        <v>22</v>
      </c>
      <c r="Q1689" s="2">
        <v>99960</v>
      </c>
    </row>
    <row r="1690" spans="1:17" x14ac:dyDescent="0.2">
      <c r="A1690" s="1">
        <v>43070</v>
      </c>
      <c r="B1690">
        <v>43350</v>
      </c>
      <c r="C1690" t="s">
        <v>80</v>
      </c>
      <c r="D1690" t="s">
        <v>15</v>
      </c>
      <c r="E1690" t="s">
        <v>70</v>
      </c>
      <c r="F1690" s="5">
        <v>68</v>
      </c>
      <c r="G1690" t="str">
        <f>IF(Data[[#This Row],[Age]]&lt;25,"Under 25",IF(Data[[#This Row],[Age]]&lt;35,"25–34",IF(Data[[#This Row],[Age]]&lt;45,"35–44",IF(Data[[#This Row],[Age]]&lt;55,"45–54","55+"))))</f>
        <v>55+</v>
      </c>
      <c r="H1690" t="s">
        <v>34</v>
      </c>
      <c r="I1690" t="s">
        <v>18</v>
      </c>
      <c r="J1690" t="s">
        <v>35</v>
      </c>
      <c r="K1690" s="1">
        <v>41584</v>
      </c>
      <c r="M1690" s="1" t="str">
        <f>IF(ISBLANK(Data[[#This Row],[EndDate]]),"Active","InActive")</f>
        <v>Active</v>
      </c>
      <c r="N1690" t="s">
        <v>20</v>
      </c>
      <c r="O1690" t="s">
        <v>77</v>
      </c>
      <c r="P1690" t="s">
        <v>32</v>
      </c>
      <c r="Q1690" s="2">
        <v>93024</v>
      </c>
    </row>
    <row r="1691" spans="1:17" x14ac:dyDescent="0.2">
      <c r="A1691" s="1">
        <v>43435</v>
      </c>
      <c r="B1691">
        <v>53218</v>
      </c>
      <c r="C1691" t="s">
        <v>80</v>
      </c>
      <c r="D1691" t="s">
        <v>15</v>
      </c>
      <c r="E1691" t="s">
        <v>58</v>
      </c>
      <c r="F1691" s="5">
        <v>68</v>
      </c>
      <c r="G1691" t="str">
        <f>IF(Data[[#This Row],[Age]]&lt;25,"Under 25",IF(Data[[#This Row],[Age]]&lt;35,"25–34",IF(Data[[#This Row],[Age]]&lt;45,"35–44",IF(Data[[#This Row],[Age]]&lt;55,"45–54","55+"))))</f>
        <v>55+</v>
      </c>
      <c r="H1691" t="s">
        <v>59</v>
      </c>
      <c r="I1691" t="s">
        <v>18</v>
      </c>
      <c r="J1691" t="s">
        <v>37</v>
      </c>
      <c r="K1691" s="1">
        <v>39948</v>
      </c>
      <c r="M1691" s="1" t="str">
        <f>IF(ISBLANK(Data[[#This Row],[EndDate]]),"Active","InActive")</f>
        <v>Active</v>
      </c>
      <c r="N1691" t="s">
        <v>20</v>
      </c>
      <c r="O1691" t="s">
        <v>77</v>
      </c>
      <c r="P1691" t="s">
        <v>40</v>
      </c>
      <c r="Q1691" s="2">
        <v>21216</v>
      </c>
    </row>
    <row r="1692" spans="1:17" x14ac:dyDescent="0.2">
      <c r="A1692" s="1">
        <v>43435</v>
      </c>
      <c r="B1692">
        <v>56354</v>
      </c>
      <c r="C1692" t="s">
        <v>80</v>
      </c>
      <c r="D1692" t="s">
        <v>29</v>
      </c>
      <c r="E1692" t="s">
        <v>30</v>
      </c>
      <c r="F1692" s="5">
        <v>68</v>
      </c>
      <c r="G1692" t="str">
        <f>IF(Data[[#This Row],[Age]]&lt;25,"Under 25",IF(Data[[#This Row],[Age]]&lt;35,"25–34",IF(Data[[#This Row],[Age]]&lt;45,"35–44",IF(Data[[#This Row],[Age]]&lt;55,"45–54","55+"))))</f>
        <v>55+</v>
      </c>
      <c r="H1692" t="s">
        <v>31</v>
      </c>
      <c r="I1692" t="s">
        <v>18</v>
      </c>
      <c r="J1692" t="s">
        <v>26</v>
      </c>
      <c r="K1692" s="1">
        <v>40764</v>
      </c>
      <c r="M1692" s="1" t="str">
        <f>IF(ISBLANK(Data[[#This Row],[EndDate]]),"Active","InActive")</f>
        <v>Active</v>
      </c>
      <c r="N1692" t="s">
        <v>20</v>
      </c>
      <c r="O1692" t="s">
        <v>77</v>
      </c>
      <c r="P1692" t="s">
        <v>40</v>
      </c>
      <c r="Q1692" s="2">
        <v>33456</v>
      </c>
    </row>
    <row r="1693" spans="1:17" x14ac:dyDescent="0.2">
      <c r="A1693" s="1">
        <v>43435</v>
      </c>
      <c r="B1693">
        <v>40554</v>
      </c>
      <c r="C1693" t="s">
        <v>80</v>
      </c>
      <c r="D1693" t="s">
        <v>38</v>
      </c>
      <c r="E1693" t="s">
        <v>39</v>
      </c>
      <c r="F1693" s="5">
        <v>68</v>
      </c>
      <c r="G1693" t="str">
        <f>IF(Data[[#This Row],[Age]]&lt;25,"Under 25",IF(Data[[#This Row],[Age]]&lt;35,"25–34",IF(Data[[#This Row],[Age]]&lt;45,"35–44",IF(Data[[#This Row],[Age]]&lt;55,"45–54","55+"))))</f>
        <v>55+</v>
      </c>
      <c r="H1693" t="s">
        <v>59</v>
      </c>
      <c r="I1693" t="s">
        <v>18</v>
      </c>
      <c r="J1693" t="s">
        <v>37</v>
      </c>
      <c r="K1693" s="1">
        <v>39136</v>
      </c>
      <c r="M1693" s="1" t="str">
        <f>IF(ISBLANK(Data[[#This Row],[EndDate]]),"Active","InActive")</f>
        <v>Active</v>
      </c>
      <c r="N1693" t="s">
        <v>20</v>
      </c>
      <c r="O1693" t="s">
        <v>77</v>
      </c>
      <c r="P1693" t="s">
        <v>40</v>
      </c>
      <c r="Q1693" s="2">
        <v>42024</v>
      </c>
    </row>
    <row r="1694" spans="1:17" x14ac:dyDescent="0.2">
      <c r="A1694" s="1">
        <v>43070</v>
      </c>
      <c r="B1694">
        <v>22578</v>
      </c>
      <c r="C1694" t="s">
        <v>79</v>
      </c>
      <c r="D1694" t="s">
        <v>52</v>
      </c>
      <c r="E1694" t="s">
        <v>67</v>
      </c>
      <c r="F1694" s="5">
        <v>68</v>
      </c>
      <c r="G1694" t="str">
        <f>IF(Data[[#This Row],[Age]]&lt;25,"Under 25",IF(Data[[#This Row],[Age]]&lt;35,"25–34",IF(Data[[#This Row],[Age]]&lt;45,"35–44",IF(Data[[#This Row],[Age]]&lt;55,"45–54","55+"))))</f>
        <v>55+</v>
      </c>
      <c r="H1694" t="s">
        <v>59</v>
      </c>
      <c r="I1694" t="s">
        <v>56</v>
      </c>
      <c r="J1694" t="s">
        <v>37</v>
      </c>
      <c r="K1694" s="1">
        <v>40668</v>
      </c>
      <c r="M1694" s="1" t="str">
        <f>IF(ISBLANK(Data[[#This Row],[EndDate]]),"Active","InActive")</f>
        <v>Active</v>
      </c>
      <c r="N1694" t="s">
        <v>57</v>
      </c>
      <c r="O1694" t="s">
        <v>77</v>
      </c>
      <c r="P1694" t="s">
        <v>32</v>
      </c>
      <c r="Q1694" s="2">
        <v>42976</v>
      </c>
    </row>
    <row r="1695" spans="1:17" x14ac:dyDescent="0.2">
      <c r="A1695" s="1">
        <v>43435</v>
      </c>
      <c r="B1695">
        <v>51316</v>
      </c>
      <c r="C1695" t="s">
        <v>79</v>
      </c>
      <c r="D1695" t="s">
        <v>29</v>
      </c>
      <c r="E1695" t="s">
        <v>36</v>
      </c>
      <c r="F1695" s="5">
        <v>68</v>
      </c>
      <c r="G1695" t="str">
        <f>IF(Data[[#This Row],[Age]]&lt;25,"Under 25",IF(Data[[#This Row],[Age]]&lt;35,"25–34",IF(Data[[#This Row],[Age]]&lt;45,"35–44",IF(Data[[#This Row],[Age]]&lt;55,"45–54","55+"))))</f>
        <v>55+</v>
      </c>
      <c r="H1695" t="s">
        <v>59</v>
      </c>
      <c r="I1695" t="s">
        <v>56</v>
      </c>
      <c r="J1695" t="s">
        <v>37</v>
      </c>
      <c r="K1695" s="1">
        <v>39385</v>
      </c>
      <c r="M1695" s="1" t="str">
        <f>IF(ISBLANK(Data[[#This Row],[EndDate]]),"Active","InActive")</f>
        <v>Active</v>
      </c>
      <c r="N1695" t="s">
        <v>57</v>
      </c>
      <c r="O1695" t="s">
        <v>77</v>
      </c>
      <c r="P1695" t="s">
        <v>40</v>
      </c>
      <c r="Q1695" s="2">
        <v>16864</v>
      </c>
    </row>
    <row r="1696" spans="1:17" x14ac:dyDescent="0.2">
      <c r="A1696" s="1">
        <v>43435</v>
      </c>
      <c r="B1696">
        <v>54472</v>
      </c>
      <c r="C1696" t="s">
        <v>79</v>
      </c>
      <c r="D1696" t="s">
        <v>41</v>
      </c>
      <c r="E1696" t="s">
        <v>42</v>
      </c>
      <c r="F1696" s="5">
        <v>69</v>
      </c>
      <c r="G1696" t="str">
        <f>IF(Data[[#This Row],[Age]]&lt;25,"Under 25",IF(Data[[#This Row],[Age]]&lt;35,"25–34",IF(Data[[#This Row],[Age]]&lt;45,"35–44",IF(Data[[#This Row],[Age]]&lt;55,"45–54","55+"))))</f>
        <v>55+</v>
      </c>
      <c r="H1696" t="s">
        <v>46</v>
      </c>
      <c r="I1696" t="s">
        <v>56</v>
      </c>
      <c r="J1696" t="s">
        <v>37</v>
      </c>
      <c r="K1696" s="1">
        <v>37495</v>
      </c>
      <c r="M1696" s="1" t="str">
        <f>IF(ISBLANK(Data[[#This Row],[EndDate]]),"Active","InActive")</f>
        <v>Active</v>
      </c>
      <c r="N1696" t="s">
        <v>57</v>
      </c>
      <c r="O1696" t="s">
        <v>77</v>
      </c>
      <c r="P1696" t="s">
        <v>40</v>
      </c>
      <c r="Q1696" s="2">
        <v>88044</v>
      </c>
    </row>
    <row r="1697" spans="1:17" x14ac:dyDescent="0.2">
      <c r="A1697" s="1">
        <v>43070</v>
      </c>
      <c r="B1697">
        <v>52980</v>
      </c>
      <c r="C1697" t="s">
        <v>80</v>
      </c>
      <c r="D1697" t="s">
        <v>27</v>
      </c>
      <c r="E1697" t="s">
        <v>72</v>
      </c>
      <c r="F1697" s="5">
        <v>69</v>
      </c>
      <c r="G1697" t="str">
        <f>IF(Data[[#This Row],[Age]]&lt;25,"Under 25",IF(Data[[#This Row],[Age]]&lt;35,"25–34",IF(Data[[#This Row],[Age]]&lt;45,"35–44",IF(Data[[#This Row],[Age]]&lt;55,"45–54","55+"))))</f>
        <v>55+</v>
      </c>
      <c r="H1697" t="s">
        <v>49</v>
      </c>
      <c r="I1697" t="s">
        <v>18</v>
      </c>
      <c r="J1697" t="s">
        <v>37</v>
      </c>
      <c r="K1697" s="1">
        <v>40695</v>
      </c>
      <c r="M1697" s="1" t="str">
        <f>IF(ISBLANK(Data[[#This Row],[EndDate]]),"Active","InActive")</f>
        <v>Active</v>
      </c>
      <c r="N1697" t="s">
        <v>20</v>
      </c>
      <c r="O1697" t="s">
        <v>77</v>
      </c>
      <c r="P1697" t="s">
        <v>32</v>
      </c>
      <c r="Q1697" s="2">
        <v>44712</v>
      </c>
    </row>
    <row r="1698" spans="1:17" x14ac:dyDescent="0.2">
      <c r="A1698" s="1">
        <v>43435</v>
      </c>
      <c r="B1698">
        <v>43350</v>
      </c>
      <c r="C1698" t="s">
        <v>80</v>
      </c>
      <c r="D1698" t="s">
        <v>15</v>
      </c>
      <c r="E1698" t="s">
        <v>70</v>
      </c>
      <c r="F1698" s="5">
        <v>69</v>
      </c>
      <c r="G1698" t="str">
        <f>IF(Data[[#This Row],[Age]]&lt;25,"Under 25",IF(Data[[#This Row],[Age]]&lt;35,"25–34",IF(Data[[#This Row],[Age]]&lt;45,"35–44",IF(Data[[#This Row],[Age]]&lt;55,"45–54","55+"))))</f>
        <v>55+</v>
      </c>
      <c r="H1698" t="s">
        <v>34</v>
      </c>
      <c r="I1698" t="s">
        <v>18</v>
      </c>
      <c r="J1698" t="s">
        <v>35</v>
      </c>
      <c r="K1698" s="1">
        <v>41584</v>
      </c>
      <c r="M1698" s="1" t="str">
        <f>IF(ISBLANK(Data[[#This Row],[EndDate]]),"Active","InActive")</f>
        <v>Active</v>
      </c>
      <c r="N1698" t="s">
        <v>20</v>
      </c>
      <c r="O1698" t="s">
        <v>77</v>
      </c>
      <c r="P1698" t="s">
        <v>40</v>
      </c>
      <c r="Q1698" s="2">
        <v>74934</v>
      </c>
    </row>
    <row r="1699" spans="1:17" x14ac:dyDescent="0.2">
      <c r="A1699" s="1">
        <v>42705</v>
      </c>
      <c r="B1699">
        <v>51236</v>
      </c>
      <c r="C1699" t="s">
        <v>79</v>
      </c>
      <c r="D1699" t="s">
        <v>47</v>
      </c>
      <c r="E1699" t="s">
        <v>64</v>
      </c>
      <c r="F1699" s="5">
        <v>69</v>
      </c>
      <c r="G1699" t="str">
        <f>IF(Data[[#This Row],[Age]]&lt;25,"Under 25",IF(Data[[#This Row],[Age]]&lt;35,"25–34",IF(Data[[#This Row],[Age]]&lt;45,"35–44",IF(Data[[#This Row],[Age]]&lt;55,"45–54","55+"))))</f>
        <v>55+</v>
      </c>
      <c r="H1699" t="s">
        <v>46</v>
      </c>
      <c r="I1699" t="s">
        <v>56</v>
      </c>
      <c r="J1699" t="s">
        <v>35</v>
      </c>
      <c r="K1699" s="1">
        <v>38092</v>
      </c>
      <c r="M1699" s="1" t="str">
        <f>IF(ISBLANK(Data[[#This Row],[EndDate]]),"Active","InActive")</f>
        <v>Active</v>
      </c>
      <c r="N1699" t="s">
        <v>57</v>
      </c>
      <c r="O1699" t="s">
        <v>77</v>
      </c>
      <c r="P1699" t="s">
        <v>22</v>
      </c>
      <c r="Q1699" s="2">
        <v>128478</v>
      </c>
    </row>
    <row r="1700" spans="1:17" x14ac:dyDescent="0.2">
      <c r="A1700" s="1">
        <v>43435</v>
      </c>
      <c r="B1700">
        <v>52980</v>
      </c>
      <c r="C1700" t="s">
        <v>80</v>
      </c>
      <c r="D1700" t="s">
        <v>27</v>
      </c>
      <c r="E1700" t="s">
        <v>72</v>
      </c>
      <c r="F1700" s="5">
        <v>70</v>
      </c>
      <c r="G1700" t="str">
        <f>IF(Data[[#This Row],[Age]]&lt;25,"Under 25",IF(Data[[#This Row],[Age]]&lt;35,"25–34",IF(Data[[#This Row],[Age]]&lt;45,"35–44",IF(Data[[#This Row],[Age]]&lt;55,"45–54","55+"))))</f>
        <v>55+</v>
      </c>
      <c r="H1700" t="s">
        <v>49</v>
      </c>
      <c r="I1700" t="s">
        <v>18</v>
      </c>
      <c r="J1700" t="s">
        <v>37</v>
      </c>
      <c r="K1700" s="1">
        <v>40695</v>
      </c>
      <c r="M1700" s="1" t="str">
        <f>IF(ISBLANK(Data[[#This Row],[EndDate]]),"Active","InActive")</f>
        <v>Active</v>
      </c>
      <c r="N1700" t="s">
        <v>20</v>
      </c>
      <c r="O1700" t="s">
        <v>77</v>
      </c>
      <c r="P1700" t="s">
        <v>40</v>
      </c>
      <c r="Q1700" s="2">
        <v>97020</v>
      </c>
    </row>
    <row r="1701" spans="1:17" x14ac:dyDescent="0.2">
      <c r="A1701" s="1">
        <v>43070</v>
      </c>
      <c r="B1701">
        <v>51236</v>
      </c>
      <c r="C1701" t="s">
        <v>79</v>
      </c>
      <c r="D1701" t="s">
        <v>47</v>
      </c>
      <c r="E1701" t="s">
        <v>64</v>
      </c>
      <c r="F1701" s="5">
        <v>70</v>
      </c>
      <c r="G1701" t="str">
        <f>IF(Data[[#This Row],[Age]]&lt;25,"Under 25",IF(Data[[#This Row],[Age]]&lt;35,"25–34",IF(Data[[#This Row],[Age]]&lt;45,"35–44",IF(Data[[#This Row],[Age]]&lt;55,"45–54","55+"))))</f>
        <v>55+</v>
      </c>
      <c r="H1701" t="s">
        <v>46</v>
      </c>
      <c r="I1701" t="s">
        <v>56</v>
      </c>
      <c r="J1701" t="s">
        <v>35</v>
      </c>
      <c r="K1701" s="1">
        <v>38092</v>
      </c>
      <c r="M1701" s="1" t="str">
        <f>IF(ISBLANK(Data[[#This Row],[EndDate]]),"Active","InActive")</f>
        <v>Active</v>
      </c>
      <c r="N1701" t="s">
        <v>57</v>
      </c>
      <c r="O1701" t="s">
        <v>77</v>
      </c>
      <c r="P1701" t="s">
        <v>32</v>
      </c>
      <c r="Q1701" s="2">
        <v>66500</v>
      </c>
    </row>
    <row r="1702" spans="1:17" x14ac:dyDescent="0.2">
      <c r="A1702" s="1">
        <v>43435</v>
      </c>
      <c r="B1702">
        <v>51236</v>
      </c>
      <c r="C1702" t="s">
        <v>79</v>
      </c>
      <c r="D1702" t="s">
        <v>47</v>
      </c>
      <c r="E1702" t="s">
        <v>64</v>
      </c>
      <c r="F1702" s="5">
        <v>71</v>
      </c>
      <c r="G1702" t="str">
        <f>IF(Data[[#This Row],[Age]]&lt;25,"Under 25",IF(Data[[#This Row],[Age]]&lt;35,"25–34",IF(Data[[#This Row],[Age]]&lt;45,"35–44",IF(Data[[#This Row],[Age]]&lt;55,"45–54","55+"))))</f>
        <v>55+</v>
      </c>
      <c r="H1702" t="s">
        <v>46</v>
      </c>
      <c r="I1702" t="s">
        <v>56</v>
      </c>
      <c r="J1702" t="s">
        <v>35</v>
      </c>
      <c r="K1702" s="1">
        <v>38092</v>
      </c>
      <c r="M1702" s="1" t="str">
        <f>IF(ISBLANK(Data[[#This Row],[EndDate]]),"Active","InActive")</f>
        <v>Active</v>
      </c>
      <c r="N1702" t="s">
        <v>57</v>
      </c>
      <c r="O1702" t="s">
        <v>77</v>
      </c>
      <c r="P1702" t="s">
        <v>40</v>
      </c>
      <c r="Q1702" s="2">
        <v>84348</v>
      </c>
    </row>
    <row r="1703" spans="1:17" x14ac:dyDescent="0.2">
      <c r="A1703" s="1">
        <v>42705</v>
      </c>
      <c r="B1703">
        <v>55442</v>
      </c>
      <c r="C1703" t="s">
        <v>79</v>
      </c>
      <c r="D1703" t="s">
        <v>15</v>
      </c>
      <c r="E1703" t="s">
        <v>16</v>
      </c>
      <c r="F1703" s="5">
        <v>72</v>
      </c>
      <c r="G1703" t="str">
        <f>IF(Data[[#This Row],[Age]]&lt;25,"Under 25",IF(Data[[#This Row],[Age]]&lt;35,"25–34",IF(Data[[#This Row],[Age]]&lt;45,"35–44",IF(Data[[#This Row],[Age]]&lt;55,"45–54","55+"))))</f>
        <v>55+</v>
      </c>
      <c r="H1703" t="s">
        <v>17</v>
      </c>
      <c r="I1703" t="s">
        <v>56</v>
      </c>
      <c r="J1703" t="s">
        <v>26</v>
      </c>
      <c r="K1703" s="1">
        <v>37691</v>
      </c>
      <c r="M1703" s="1" t="str">
        <f>IF(ISBLANK(Data[[#This Row],[EndDate]]),"Active","InActive")</f>
        <v>Active</v>
      </c>
      <c r="N1703" t="s">
        <v>57</v>
      </c>
      <c r="O1703" t="s">
        <v>77</v>
      </c>
      <c r="P1703" t="s">
        <v>22</v>
      </c>
      <c r="Q1703" s="2">
        <v>118512</v>
      </c>
    </row>
    <row r="1704" spans="1:17" x14ac:dyDescent="0.2">
      <c r="A1704" s="1">
        <v>42705</v>
      </c>
      <c r="B1704">
        <v>119550</v>
      </c>
      <c r="C1704" t="s">
        <v>80</v>
      </c>
      <c r="D1704" t="s">
        <v>23</v>
      </c>
      <c r="E1704" t="s">
        <v>65</v>
      </c>
      <c r="F1704" s="5">
        <v>73</v>
      </c>
      <c r="G1704" t="str">
        <f>IF(Data[[#This Row],[Age]]&lt;25,"Under 25",IF(Data[[#This Row],[Age]]&lt;35,"25–34",IF(Data[[#This Row],[Age]]&lt;45,"35–44",IF(Data[[#This Row],[Age]]&lt;55,"45–54","55+"))))</f>
        <v>55+</v>
      </c>
      <c r="H1704" t="s">
        <v>17</v>
      </c>
      <c r="I1704" t="s">
        <v>56</v>
      </c>
      <c r="J1704" t="s">
        <v>35</v>
      </c>
      <c r="K1704" s="1">
        <v>39141</v>
      </c>
      <c r="M1704" s="1" t="str">
        <f>IF(ISBLANK(Data[[#This Row],[EndDate]]),"Active","InActive")</f>
        <v>Active</v>
      </c>
      <c r="N1704" t="s">
        <v>57</v>
      </c>
      <c r="O1704" t="s">
        <v>77</v>
      </c>
      <c r="P1704" t="s">
        <v>22</v>
      </c>
      <c r="Q1704" s="2">
        <v>121618</v>
      </c>
    </row>
    <row r="1705" spans="1:17" x14ac:dyDescent="0.2">
      <c r="A1705" s="1">
        <v>43070</v>
      </c>
      <c r="B1705">
        <v>55442</v>
      </c>
      <c r="C1705" t="s">
        <v>79</v>
      </c>
      <c r="D1705" t="s">
        <v>15</v>
      </c>
      <c r="E1705" t="s">
        <v>16</v>
      </c>
      <c r="F1705" s="5">
        <v>73</v>
      </c>
      <c r="G1705" t="str">
        <f>IF(Data[[#This Row],[Age]]&lt;25,"Under 25",IF(Data[[#This Row],[Age]]&lt;35,"25–34",IF(Data[[#This Row],[Age]]&lt;45,"35–44",IF(Data[[#This Row],[Age]]&lt;55,"45–54","55+"))))</f>
        <v>55+</v>
      </c>
      <c r="H1705" t="s">
        <v>17</v>
      </c>
      <c r="I1705" t="s">
        <v>56</v>
      </c>
      <c r="J1705" t="s">
        <v>26</v>
      </c>
      <c r="K1705" s="1">
        <v>37691</v>
      </c>
      <c r="M1705" s="1" t="str">
        <f>IF(ISBLANK(Data[[#This Row],[EndDate]]),"Active","InActive")</f>
        <v>Active</v>
      </c>
      <c r="N1705" t="s">
        <v>57</v>
      </c>
      <c r="O1705" t="s">
        <v>77</v>
      </c>
      <c r="P1705" t="s">
        <v>32</v>
      </c>
      <c r="Q1705" s="2">
        <v>42778</v>
      </c>
    </row>
    <row r="1706" spans="1:17" x14ac:dyDescent="0.2">
      <c r="A1706" s="1">
        <v>43435</v>
      </c>
      <c r="B1706">
        <v>55442</v>
      </c>
      <c r="C1706" t="s">
        <v>79</v>
      </c>
      <c r="D1706" t="s">
        <v>15</v>
      </c>
      <c r="E1706" t="s">
        <v>16</v>
      </c>
      <c r="F1706" s="5">
        <v>74</v>
      </c>
      <c r="G1706" t="str">
        <f>IF(Data[[#This Row],[Age]]&lt;25,"Under 25",IF(Data[[#This Row],[Age]]&lt;35,"25–34",IF(Data[[#This Row],[Age]]&lt;45,"35–44",IF(Data[[#This Row],[Age]]&lt;55,"45–54","55+"))))</f>
        <v>55+</v>
      </c>
      <c r="H1706" t="s">
        <v>17</v>
      </c>
      <c r="I1706" t="s">
        <v>56</v>
      </c>
      <c r="J1706" t="s">
        <v>26</v>
      </c>
      <c r="K1706" s="1">
        <v>37691</v>
      </c>
      <c r="M1706" s="1" t="str">
        <f>IF(ISBLANK(Data[[#This Row],[EndDate]]),"Active","InActive")</f>
        <v>Active</v>
      </c>
      <c r="N1706" t="s">
        <v>57</v>
      </c>
      <c r="O1706" t="s">
        <v>77</v>
      </c>
      <c r="P1706" t="s">
        <v>40</v>
      </c>
      <c r="Q1706" s="2">
        <v>64676</v>
      </c>
    </row>
    <row r="1707" spans="1:17" x14ac:dyDescent="0.2">
      <c r="A1707" s="1">
        <v>42705</v>
      </c>
      <c r="B1707">
        <v>16730</v>
      </c>
      <c r="C1707" t="s">
        <v>79</v>
      </c>
      <c r="D1707" t="s">
        <v>50</v>
      </c>
      <c r="E1707" t="s">
        <v>55</v>
      </c>
      <c r="F1707" s="5">
        <v>75</v>
      </c>
      <c r="G1707" t="str">
        <f>IF(Data[[#This Row],[Age]]&lt;25,"Under 25",IF(Data[[#This Row],[Age]]&lt;35,"25–34",IF(Data[[#This Row],[Age]]&lt;45,"35–44",IF(Data[[#This Row],[Age]]&lt;55,"45–54","55+"))))</f>
        <v>55+</v>
      </c>
      <c r="H1707" t="s">
        <v>34</v>
      </c>
      <c r="I1707" t="s">
        <v>56</v>
      </c>
      <c r="J1707" t="s">
        <v>37</v>
      </c>
      <c r="K1707" s="1">
        <v>40687</v>
      </c>
      <c r="M1707" s="1" t="str">
        <f>IF(ISBLANK(Data[[#This Row],[EndDate]]),"Active","InActive")</f>
        <v>Active</v>
      </c>
      <c r="N1707" t="s">
        <v>57</v>
      </c>
      <c r="O1707" t="s">
        <v>77</v>
      </c>
      <c r="P1707" t="s">
        <v>22</v>
      </c>
      <c r="Q1707" s="2">
        <v>91500</v>
      </c>
    </row>
    <row r="1708" spans="1:17" x14ac:dyDescent="0.2">
      <c r="A1708" s="1">
        <v>43070</v>
      </c>
      <c r="B1708">
        <v>16730</v>
      </c>
      <c r="C1708" t="s">
        <v>79</v>
      </c>
      <c r="D1708" t="s">
        <v>50</v>
      </c>
      <c r="E1708" t="s">
        <v>55</v>
      </c>
      <c r="F1708" s="5">
        <v>76</v>
      </c>
      <c r="G1708" t="str">
        <f>IF(Data[[#This Row],[Age]]&lt;25,"Under 25",IF(Data[[#This Row],[Age]]&lt;35,"25–34",IF(Data[[#This Row],[Age]]&lt;45,"35–44",IF(Data[[#This Row],[Age]]&lt;55,"45–54","55+"))))</f>
        <v>55+</v>
      </c>
      <c r="H1708" t="s">
        <v>34</v>
      </c>
      <c r="I1708" t="s">
        <v>56</v>
      </c>
      <c r="J1708" t="s">
        <v>37</v>
      </c>
      <c r="K1708" s="1">
        <v>40687</v>
      </c>
      <c r="M1708" s="1" t="str">
        <f>IF(ISBLANK(Data[[#This Row],[EndDate]]),"Active","InActive")</f>
        <v>Active</v>
      </c>
      <c r="N1708" t="s">
        <v>57</v>
      </c>
      <c r="O1708" t="s">
        <v>77</v>
      </c>
      <c r="P1708" t="s">
        <v>32</v>
      </c>
      <c r="Q1708" s="2">
        <v>129808</v>
      </c>
    </row>
    <row r="1709" spans="1:17" x14ac:dyDescent="0.2">
      <c r="A1709" s="1">
        <v>42705</v>
      </c>
      <c r="B1709">
        <v>26954</v>
      </c>
      <c r="C1709" t="s">
        <v>80</v>
      </c>
      <c r="D1709" t="s">
        <v>38</v>
      </c>
      <c r="E1709" t="s">
        <v>61</v>
      </c>
      <c r="F1709" s="5">
        <v>86</v>
      </c>
      <c r="G1709" t="str">
        <f>IF(Data[[#This Row],[Age]]&lt;25,"Under 25",IF(Data[[#This Row],[Age]]&lt;35,"25–34",IF(Data[[#This Row],[Age]]&lt;45,"35–44",IF(Data[[#This Row],[Age]]&lt;55,"45–54","55+"))))</f>
        <v>55+</v>
      </c>
      <c r="H1709" t="s">
        <v>46</v>
      </c>
      <c r="I1709" t="s">
        <v>18</v>
      </c>
      <c r="J1709" t="s">
        <v>26</v>
      </c>
      <c r="K1709" s="1">
        <v>40052</v>
      </c>
      <c r="L1709" s="1">
        <v>40112</v>
      </c>
      <c r="M1709" s="1" t="str">
        <f>IF(ISBLANK(Data[[#This Row],[EndDate]]),"Active","InActive")</f>
        <v>InActive</v>
      </c>
      <c r="N1709" t="s">
        <v>20</v>
      </c>
      <c r="O1709" t="s">
        <v>77</v>
      </c>
      <c r="P1709" t="s">
        <v>22</v>
      </c>
      <c r="Q1709" s="2">
        <v>70004</v>
      </c>
    </row>
    <row r="1710" spans="1:17" x14ac:dyDescent="0.2">
      <c r="A1710" s="1">
        <v>43070</v>
      </c>
      <c r="B1710">
        <v>26954</v>
      </c>
      <c r="C1710" t="s">
        <v>80</v>
      </c>
      <c r="D1710" t="s">
        <v>38</v>
      </c>
      <c r="E1710" t="s">
        <v>61</v>
      </c>
      <c r="F1710" s="5">
        <v>87</v>
      </c>
      <c r="G1710" t="str">
        <f>IF(Data[[#This Row],[Age]]&lt;25,"Under 25",IF(Data[[#This Row],[Age]]&lt;35,"25–34",IF(Data[[#This Row],[Age]]&lt;45,"35–44",IF(Data[[#This Row],[Age]]&lt;55,"45–54","55+"))))</f>
        <v>55+</v>
      </c>
      <c r="H1710" t="s">
        <v>46</v>
      </c>
      <c r="I1710" t="s">
        <v>18</v>
      </c>
      <c r="J1710" t="s">
        <v>26</v>
      </c>
      <c r="K1710" s="1">
        <v>40052</v>
      </c>
      <c r="M1710" s="1" t="str">
        <f>IF(ISBLANK(Data[[#This Row],[EndDate]]),"Active","InActive")</f>
        <v>Active</v>
      </c>
      <c r="N1710" t="s">
        <v>20</v>
      </c>
      <c r="O1710" t="s">
        <v>77</v>
      </c>
      <c r="P1710" t="s">
        <v>32</v>
      </c>
      <c r="Q1710" s="2">
        <v>94134</v>
      </c>
    </row>
  </sheetData>
  <pageMargins left="0.7" right="0.7" top="0.75" bottom="0.75" header="0.3" footer="0.3"/>
  <pageSetup paperSize="9" scale="43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B256B5F-4ABC-4328-A169-FC850BC12C77}">
  <ds:schemaRefs>
    <ds:schemaRef ds:uri="http://gemini/pivotcustomization/f22a523e-307b-47d7-9349-3ff3fd9b9c0d"/>
  </ds:schemaRefs>
</ds:datastoreItem>
</file>

<file path=customXml/itemProps2.xml><?xml version="1.0" encoding="utf-8"?>
<ds:datastoreItem xmlns:ds="http://schemas.openxmlformats.org/officeDocument/2006/customXml" ds:itemID="{34A523E8-1B43-41E9-85E0-F736311E94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ancost</dc:creator>
  <cp:keywords/>
  <dc:description/>
  <cp:lastModifiedBy>Lụm</cp:lastModifiedBy>
  <cp:revision/>
  <dcterms:created xsi:type="dcterms:W3CDTF">2021-01-05T06:51:04Z</dcterms:created>
  <dcterms:modified xsi:type="dcterms:W3CDTF">2026-03-11T14:35:22Z</dcterms:modified>
  <cp:category/>
  <cp:contentStatus/>
</cp:coreProperties>
</file>